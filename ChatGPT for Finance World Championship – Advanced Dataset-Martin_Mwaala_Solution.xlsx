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tin.mwaala\Downloads\"/>
    </mc:Choice>
  </mc:AlternateContent>
  <xr:revisionPtr revIDLastSave="0" documentId="13_ncr:1_{6BB8096E-0F23-46A9-89AC-A1F0E79D0D12}" xr6:coauthVersionLast="36" xr6:coauthVersionMax="36" xr10:uidLastSave="{00000000-0000-0000-0000-000000000000}"/>
  <bookViews>
    <workbookView xWindow="0" yWindow="0" windowWidth="23040" windowHeight="10284" activeTab="1" xr2:uid="{00000000-000D-0000-FFFF-FFFF00000000}"/>
  </bookViews>
  <sheets>
    <sheet name="Database" sheetId="1" r:id="rId1"/>
    <sheet name="Analysis--&gt;" sheetId="2" r:id="rId2"/>
    <sheet name="Analysis" sheetId="3" r:id="rId3"/>
    <sheet name="Correlation Analysis" sheetId="5" r:id="rId4"/>
    <sheet name="Time Series" sheetId="6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D5" i="5" l="1"/>
  <c r="E5" i="3"/>
  <c r="F5" i="3"/>
  <c r="G5" i="3"/>
  <c r="H5" i="3"/>
  <c r="I5" i="3"/>
  <c r="J5" i="3"/>
  <c r="K5" i="3"/>
  <c r="L5" i="3"/>
  <c r="M5" i="3"/>
  <c r="N5" i="3"/>
  <c r="O5" i="3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" i="1"/>
  <c r="D5" i="1"/>
  <c r="D5" i="3" l="1"/>
  <c r="O504" i="5" l="1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M26" i="3"/>
  <c r="N26" i="3"/>
  <c r="O26" i="3"/>
  <c r="P26" i="3"/>
  <c r="L26" i="3"/>
  <c r="M25" i="3"/>
  <c r="N25" i="3"/>
  <c r="O25" i="3"/>
  <c r="P25" i="3"/>
  <c r="L25" i="3"/>
  <c r="M24" i="3"/>
  <c r="N24" i="3"/>
  <c r="O24" i="3"/>
  <c r="P24" i="3"/>
  <c r="L24" i="3"/>
  <c r="M17" i="3"/>
  <c r="N17" i="3"/>
  <c r="O17" i="3"/>
  <c r="P17" i="3"/>
  <c r="L17" i="3"/>
  <c r="M16" i="3"/>
  <c r="N16" i="3"/>
  <c r="O16" i="3"/>
  <c r="P16" i="3"/>
  <c r="L16" i="3"/>
  <c r="P15" i="3"/>
  <c r="O15" i="3"/>
  <c r="N15" i="3"/>
  <c r="M15" i="3"/>
  <c r="L15" i="3"/>
  <c r="M18" i="3" l="1"/>
  <c r="N18" i="3"/>
  <c r="L27" i="3"/>
  <c r="L18" i="3"/>
  <c r="P27" i="3"/>
  <c r="P18" i="3"/>
  <c r="O27" i="3"/>
  <c r="Q5" i="3"/>
  <c r="O18" i="3"/>
  <c r="N27" i="3"/>
  <c r="M27" i="3"/>
  <c r="I6" i="3"/>
  <c r="S6" i="3"/>
  <c r="J6" i="3"/>
  <c r="D6" i="3"/>
  <c r="H6" i="3"/>
  <c r="R6" i="3"/>
  <c r="T6" i="3"/>
  <c r="O6" i="3"/>
  <c r="G6" i="3"/>
  <c r="Q6" i="3"/>
  <c r="N6" i="3"/>
  <c r="F6" i="3"/>
  <c r="T5" i="3"/>
  <c r="M6" i="3"/>
  <c r="E6" i="3"/>
  <c r="S5" i="3"/>
  <c r="L6" i="3"/>
  <c r="P5" i="3"/>
  <c r="R5" i="3"/>
  <c r="K6" i="3"/>
  <c r="P6" i="3"/>
</calcChain>
</file>

<file path=xl/sharedStrings.xml><?xml version="1.0" encoding="utf-8"?>
<sst xmlns="http://schemas.openxmlformats.org/spreadsheetml/2006/main" count="1102" uniqueCount="61">
  <si>
    <t>Date</t>
  </si>
  <si>
    <t>Region</t>
  </si>
  <si>
    <t>Product</t>
  </si>
  <si>
    <t>Revenue</t>
  </si>
  <si>
    <t>Cost</t>
  </si>
  <si>
    <t>Units Sold</t>
  </si>
  <si>
    <t>Customer Satisfaction</t>
  </si>
  <si>
    <t>Profit</t>
  </si>
  <si>
    <t>South America</t>
  </si>
  <si>
    <t>Australia</t>
  </si>
  <si>
    <t>Asia</t>
  </si>
  <si>
    <t>Europe</t>
  </si>
  <si>
    <t>North America</t>
  </si>
  <si>
    <t>Product B</t>
  </si>
  <si>
    <t>Product D</t>
  </si>
  <si>
    <t>Product A</t>
  </si>
  <si>
    <t>Product C</t>
  </si>
  <si>
    <t>Database</t>
  </si>
  <si>
    <t>Eomonth</t>
  </si>
  <si>
    <t>in$</t>
  </si>
  <si>
    <t>Cogs</t>
  </si>
  <si>
    <t>Analysis--&gt;</t>
  </si>
  <si>
    <t>Year</t>
  </si>
  <si>
    <t>1. Trend Analysis</t>
  </si>
  <si>
    <t>Trend Analysis</t>
  </si>
  <si>
    <t>Comparative Analysis</t>
  </si>
  <si>
    <t>Profit Percentage</t>
  </si>
  <si>
    <t>Grand Total</t>
  </si>
  <si>
    <t>Total Revenue</t>
  </si>
  <si>
    <t>Total Profit</t>
  </si>
  <si>
    <t>% Profit</t>
  </si>
  <si>
    <t>Correlation</t>
  </si>
  <si>
    <t>Revenue (t-1)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</si>
  <si>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</si>
  <si>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</si>
  <si>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</si>
  <si>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</si>
  <si>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</si>
  <si>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</si>
  <si>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</si>
  <si>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</si>
  <si>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</si>
  <si>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</si>
  <si>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</si>
  <si>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</si>
  <si>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</si>
  <si>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</si>
  <si>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</si>
  <si>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</si>
  <si>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</si>
  <si>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</si>
  <si>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</si>
  <si>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</si>
  <si>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</si>
  <si>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</si>
  <si>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</si>
  <si>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</si>
  <si>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</si>
  <si>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2020-2021 Sales by Product</t>
  </si>
  <si>
    <t>2020-2021 Sales by Region</t>
  </si>
  <si>
    <t>Revenue (t-12)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</si>
</sst>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48"/>
      <color rgb="FF002060"/>
      <name val="Arial"/>
      <family val="2"/>
    </font>
    <font>
      <sz val="12"/>
      <color theme="0"/>
      <name val="Arial"/>
      <family val="2"/>
    </font>
    <font>
      <sz val="12"/>
      <color theme="0"/>
      <name val="Arial Narrow"/>
      <family val="2"/>
    </font>
    <font>
      <b/>
      <sz val="12"/>
      <color theme="0"/>
      <name val="Arial Narrow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5"/>
      </top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14" fontId="2" fillId="2" borderId="0" xfId="1" applyNumberFormat="1" applyFont="1" applyFill="1" applyAlignment="1">
      <alignment horizontal="left"/>
    </xf>
    <xf numFmtId="164" fontId="2" fillId="2" borderId="0" xfId="1" applyNumberFormat="1" applyFont="1" applyFill="1"/>
    <xf numFmtId="43" fontId="2" fillId="2" borderId="0" xfId="1" applyFont="1" applyFill="1"/>
    <xf numFmtId="14" fontId="3" fillId="2" borderId="1" xfId="1" applyNumberFormat="1" applyFont="1" applyFill="1" applyBorder="1" applyAlignment="1">
      <alignment horizontal="left"/>
    </xf>
    <xf numFmtId="0" fontId="3" fillId="2" borderId="1" xfId="0" applyFont="1" applyFill="1" applyBorder="1"/>
    <xf numFmtId="164" fontId="3" fillId="2" borderId="1" xfId="1" applyNumberFormat="1" applyFont="1" applyFill="1" applyBorder="1"/>
    <xf numFmtId="43" fontId="3" fillId="2" borderId="1" xfId="1" applyFont="1" applyFill="1" applyBorder="1"/>
    <xf numFmtId="0" fontId="0" fillId="2" borderId="0" xfId="0" applyFill="1"/>
    <xf numFmtId="14" fontId="3" fillId="2" borderId="0" xfId="1" applyNumberFormat="1" applyFont="1" applyFill="1" applyAlignment="1">
      <alignment horizontal="left"/>
    </xf>
    <xf numFmtId="0" fontId="4" fillId="2" borderId="0" xfId="0" applyFont="1" applyFill="1"/>
    <xf numFmtId="0" fontId="3" fillId="2" borderId="0" xfId="0" applyFont="1" applyFill="1"/>
    <xf numFmtId="43" fontId="2" fillId="2" borderId="0" xfId="1" applyNumberFormat="1" applyFont="1" applyFill="1"/>
    <xf numFmtId="165" fontId="2" fillId="2" borderId="0" xfId="1" applyNumberFormat="1" applyFont="1" applyFill="1"/>
    <xf numFmtId="0" fontId="5" fillId="2" borderId="0" xfId="0" applyFont="1" applyFill="1"/>
    <xf numFmtId="1" fontId="2" fillId="2" borderId="0" xfId="1" applyNumberFormat="1" applyFont="1" applyFill="1" applyAlignment="1">
      <alignment horizontal="left"/>
    </xf>
    <xf numFmtId="1" fontId="3" fillId="2" borderId="1" xfId="1" applyNumberFormat="1" applyFont="1" applyFill="1" applyBorder="1" applyAlignment="1">
      <alignment horizontal="left"/>
    </xf>
    <xf numFmtId="0" fontId="0" fillId="2" borderId="0" xfId="0" applyFill="1" applyBorder="1"/>
    <xf numFmtId="0" fontId="2" fillId="2" borderId="0" xfId="0" applyFont="1" applyFill="1" applyAlignment="1">
      <alignment horizontal="center"/>
    </xf>
    <xf numFmtId="9" fontId="2" fillId="2" borderId="0" xfId="2" applyFont="1" applyFill="1"/>
    <xf numFmtId="165" fontId="2" fillId="2" borderId="0" xfId="0" applyNumberFormat="1" applyFont="1" applyFill="1"/>
    <xf numFmtId="43" fontId="2" fillId="2" borderId="0" xfId="0" applyNumberFormat="1" applyFont="1" applyFill="1"/>
    <xf numFmtId="164" fontId="3" fillId="2" borderId="1" xfId="1" applyNumberFormat="1" applyFont="1" applyFill="1" applyBorder="1" applyAlignment="1">
      <alignment horizontal="center"/>
    </xf>
    <xf numFmtId="43" fontId="3" fillId="2" borderId="1" xfId="1" applyNumberFormat="1" applyFont="1" applyFill="1" applyBorder="1"/>
    <xf numFmtId="165" fontId="0" fillId="2" borderId="3" xfId="0" applyNumberFormat="1" applyFill="1" applyBorder="1"/>
    <xf numFmtId="0" fontId="8" fillId="2" borderId="0" xfId="0" applyFont="1" applyFill="1" applyAlignment="1">
      <alignment horizontal="left" indent="15"/>
    </xf>
    <xf numFmtId="0" fontId="7" fillId="2" borderId="0" xfId="0" applyFont="1" applyFill="1"/>
    <xf numFmtId="0" fontId="6" fillId="2" borderId="0" xfId="0" applyFont="1" applyFill="1"/>
    <xf numFmtId="0" fontId="8" fillId="2" borderId="0" xfId="0" applyFont="1" applyFill="1" applyAlignment="1">
      <alignment horizontal="left" indent="21"/>
    </xf>
    <xf numFmtId="165" fontId="0" fillId="2" borderId="0" xfId="0" applyNumberFormat="1" applyFill="1" applyBorder="1"/>
    <xf numFmtId="10" fontId="0" fillId="2" borderId="0" xfId="0" applyNumberFormat="1" applyFill="1" applyBorder="1"/>
    <xf numFmtId="165" fontId="0" fillId="2" borderId="0" xfId="0" applyNumberFormat="1" applyFill="1"/>
    <xf numFmtId="10" fontId="0" fillId="2" borderId="3" xfId="0" applyNumberFormat="1" applyFill="1" applyBorder="1"/>
    <xf numFmtId="165" fontId="3" fillId="2" borderId="1" xfId="1" applyNumberFormat="1" applyFont="1" applyFill="1" applyBorder="1"/>
    <xf numFmtId="0" fontId="2" fillId="2" borderId="0" xfId="0" applyFont="1" applyFill="1" applyBorder="1" applyAlignment="1"/>
    <xf numFmtId="0" fontId="2" fillId="2" borderId="1" xfId="0" applyFont="1" applyFill="1" applyBorder="1" applyAlignment="1"/>
    <xf numFmtId="0" fontId="9" fillId="2" borderId="4" xfId="0" applyFont="1" applyFill="1" applyBorder="1" applyAlignment="1">
      <alignment horizontal="center"/>
    </xf>
    <xf numFmtId="166" fontId="2" fillId="2" borderId="0" xfId="1" applyNumberFormat="1" applyFont="1" applyFill="1" applyBorder="1" applyAlignment="1"/>
    <xf numFmtId="166" fontId="2" fillId="2" borderId="1" xfId="1" applyNumberFormat="1" applyFont="1" applyFill="1" applyBorder="1" applyAlignment="1"/>
    <xf numFmtId="0" fontId="10" fillId="2" borderId="4" xfId="0" applyFont="1" applyFill="1" applyBorder="1" applyAlignment="1">
      <alignment horizontal="centerContinuous"/>
    </xf>
    <xf numFmtId="0" fontId="3" fillId="2" borderId="0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165" fontId="0" fillId="2" borderId="2" xfId="0" applyNumberFormat="1" applyFill="1" applyBorder="1"/>
    <xf numFmtId="10" fontId="0" fillId="2" borderId="2" xfId="0" applyNumberFormat="1" applyFill="1" applyBorder="1"/>
    <xf numFmtId="0" fontId="11" fillId="3" borderId="1" xfId="0" applyFont="1" applyFill="1" applyBorder="1"/>
    <xf numFmtId="17" fontId="11" fillId="3" borderId="1" xfId="0" applyNumberFormat="1" applyFont="1" applyFill="1" applyBorder="1"/>
    <xf numFmtId="165" fontId="2" fillId="4" borderId="0" xfId="1" applyNumberFormat="1" applyFont="1" applyFill="1"/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43" fontId="3" fillId="2" borderId="0" xfId="0" applyNumberFormat="1" applyFont="1" applyFill="1" applyAlignment="1"/>
    <xf numFmtId="10" fontId="0" fillId="2" borderId="0" xfId="0" applyNumberFormat="1" applyFill="1"/>
    <xf numFmtId="43" fontId="3" fillId="5" borderId="0" xfId="0" applyNumberFormat="1" applyFont="1" applyFill="1"/>
    <xf numFmtId="43" fontId="3" fillId="5" borderId="0" xfId="0" applyNumberFormat="1" applyFont="1" applyFill="1" applyAlignment="1">
      <alignment horizontal="right"/>
    </xf>
    <xf numFmtId="0" fontId="2" fillId="3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54">
    <dxf>
      <fill>
        <patternFill>
          <fgColor indexed="64"/>
          <bgColor theme="9"/>
        </patternFill>
      </fill>
    </dxf>
    <dxf>
      <numFmt numFmtId="35" formatCode="_(* #,##0.00_);_(* \(#,##0.00\);_(* &quot;-&quot;??_);_(@_)"/>
      <fill>
        <patternFill>
          <fgColor theme="9"/>
        </patternFill>
      </fill>
    </dxf>
    <dxf>
      <numFmt numFmtId="35" formatCode="_(* #,##0.00_);_(* \(#,##0.00\);_(* &quot;-&quot;??_);_(@_)"/>
      <fill>
        <patternFill>
          <fgColor theme="9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top style="double">
          <color auto="1"/>
        </top>
        <bottom style="thick">
          <color auto="1"/>
        </bottom>
      </border>
    </dxf>
    <dxf>
      <border>
        <top style="double">
          <color auto="1"/>
        </top>
        <bottom style="thick">
          <color auto="1"/>
        </bottom>
      </border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4" formatCode="0.00%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/>
        <sz val="9"/>
        <name val="Arial"/>
        <scheme val="none"/>
      </font>
      <numFmt numFmtId="0" formatCode="General"/>
    </dxf>
    <dxf>
      <font>
        <b/>
        <sz val="9"/>
        <name val="Arial"/>
        <scheme val="none"/>
      </font>
      <numFmt numFmtId="0" formatCode="General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3" formatCode="0%"/>
    </dxf>
    <dxf>
      <fill>
        <patternFill patternType="solid">
          <bgColor theme="0"/>
        </patternFill>
      </fill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numFmt numFmtId="14" formatCode="0.00%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/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sz val="9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US" sz="9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Analyis 2020-2021</a:t>
            </a:r>
            <a:endParaRPr lang="en-US" sz="9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5.269140086302770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Analysis!$D$4:$T$4</c:f>
              <c:numCache>
                <c:formatCode>mmm\-yy</c:formatCode>
                <c:ptCount val="17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</c:numCache>
            </c:numRef>
          </c:cat>
          <c:val>
            <c:numRef>
              <c:f>Analysis!$D$5:$T$5</c:f>
              <c:numCache>
                <c:formatCode>_(* #,##0_);_(* \(#,##0\);_(* "-"??_);_(@_)</c:formatCode>
                <c:ptCount val="17"/>
                <c:pt idx="0">
                  <c:v>147266.77999999997</c:v>
                </c:pt>
                <c:pt idx="1">
                  <c:v>133231.25</c:v>
                </c:pt>
                <c:pt idx="2">
                  <c:v>157272.60000000003</c:v>
                </c:pt>
                <c:pt idx="3">
                  <c:v>154169.84</c:v>
                </c:pt>
                <c:pt idx="4">
                  <c:v>154464.4</c:v>
                </c:pt>
                <c:pt idx="5">
                  <c:v>143474.97</c:v>
                </c:pt>
                <c:pt idx="6">
                  <c:v>153576.07999999999</c:v>
                </c:pt>
                <c:pt idx="7">
                  <c:v>154907.94</c:v>
                </c:pt>
                <c:pt idx="8">
                  <c:v>150546.03</c:v>
                </c:pt>
                <c:pt idx="9">
                  <c:v>159303.62000000005</c:v>
                </c:pt>
                <c:pt idx="10">
                  <c:v>160180.35999999999</c:v>
                </c:pt>
                <c:pt idx="11">
                  <c:v>153901.07999999999</c:v>
                </c:pt>
                <c:pt idx="12">
                  <c:v>172545.64</c:v>
                </c:pt>
                <c:pt idx="13">
                  <c:v>156692.72999999998</c:v>
                </c:pt>
                <c:pt idx="14">
                  <c:v>149821.96000000002</c:v>
                </c:pt>
                <c:pt idx="15">
                  <c:v>150954.31999999998</c:v>
                </c:pt>
                <c:pt idx="16">
                  <c:v>67688.150000000009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5-45C3-B464-A38A61800936}"/>
            </c:ext>
          </c:extLst>
        </c:ser>
        <c:ser>
          <c:idx val="1"/>
          <c:order val="1"/>
          <c:tx>
            <c:strRef>
              <c:f>Analysis!$C$6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Analysis!$D$4:$T$4</c:f>
              <c:numCache>
                <c:formatCode>mmm\-yy</c:formatCode>
                <c:ptCount val="17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</c:numCache>
            </c:numRef>
          </c:cat>
          <c:val>
            <c:numRef>
              <c:f>Analysis!$D$6:$T$6</c:f>
              <c:numCache>
                <c:formatCode>_(* #,##0_);_(* \(#,##0\);_(* "-"??_);_(@_)</c:formatCode>
                <c:ptCount val="17"/>
                <c:pt idx="0">
                  <c:v>103902.67000000001</c:v>
                </c:pt>
                <c:pt idx="1">
                  <c:v>90529.2</c:v>
                </c:pt>
                <c:pt idx="2">
                  <c:v>90780.119999999981</c:v>
                </c:pt>
                <c:pt idx="3">
                  <c:v>93536.83</c:v>
                </c:pt>
                <c:pt idx="4">
                  <c:v>102390.34000000003</c:v>
                </c:pt>
                <c:pt idx="5">
                  <c:v>91311.799999999988</c:v>
                </c:pt>
                <c:pt idx="6">
                  <c:v>88655.209999999977</c:v>
                </c:pt>
                <c:pt idx="7">
                  <c:v>97193.209999999992</c:v>
                </c:pt>
                <c:pt idx="8">
                  <c:v>85978.82</c:v>
                </c:pt>
                <c:pt idx="9">
                  <c:v>96423.979999999981</c:v>
                </c:pt>
                <c:pt idx="10">
                  <c:v>87602.650000000009</c:v>
                </c:pt>
                <c:pt idx="11">
                  <c:v>89048.209999999992</c:v>
                </c:pt>
                <c:pt idx="12">
                  <c:v>97200.849999999991</c:v>
                </c:pt>
                <c:pt idx="13">
                  <c:v>89839.750000000015</c:v>
                </c:pt>
                <c:pt idx="14">
                  <c:v>96395.96</c:v>
                </c:pt>
                <c:pt idx="15">
                  <c:v>93967.4</c:v>
                </c:pt>
                <c:pt idx="16">
                  <c:v>42814.829999999994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5-45C3-B464-A38A6180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199024"/>
        <c:axId val="727475952"/>
      </c:lineChart>
      <c:dateAx>
        <c:axId val="739199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475952"/>
        <c:crosses val="autoZero"/>
        <c:auto val="1"/>
        <c:lblOffset val="100"/>
        <c:baseTimeUnit val="months"/>
      </c:dateAx>
      <c:valAx>
        <c:axId val="72747595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39199024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[ChatGPT for Finance World Championship – Advanced Dataset-Martin_Mwaala_Solution.xlsx]Analysis!PivotTable4</c:name>
    <c:fmtId val="0"/>
  </c:pivotSource>
  <c:chart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Analysis!$K$31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Analysis!$J$32:$J$37</c:f>
              <c:strCache>
                <c:ptCount val="5"/>
                <c:pt idx="0">
                  <c:v>Asia</c:v>
                </c:pt>
                <c:pt idx="1">
                  <c:v>Australia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Analysis!$K$32:$K$37</c:f>
              <c:numCache>
                <c:formatCode>_(* #,##0_);_(* \(#,##0\);_(* "-"??_);_(@_)</c:formatCode>
                <c:ptCount val="5"/>
                <c:pt idx="0">
                  <c:v>492834.27999999997</c:v>
                </c:pt>
                <c:pt idx="1">
                  <c:v>462868.12000000005</c:v>
                </c:pt>
                <c:pt idx="2">
                  <c:v>492110.11000000004</c:v>
                </c:pt>
                <c:pt idx="3">
                  <c:v>520820.12999999995</c:v>
                </c:pt>
                <c:pt idx="4">
                  <c:v>551365.1100000001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E-4184-A84E-9E4D7C1D168D}"/>
            </c:ext>
          </c:extLst>
        </c:ser>
        <c:ser>
          <c:idx val="1"/>
          <c:order val="1"/>
          <c:tx>
            <c:strRef>
              <c:f>Analysis!$L$31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Analysis!$J$32:$J$37</c:f>
              <c:strCache>
                <c:ptCount val="5"/>
                <c:pt idx="0">
                  <c:v>Asia</c:v>
                </c:pt>
                <c:pt idx="1">
                  <c:v>Australia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Analysis!$L$32:$L$37</c:f>
              <c:numCache>
                <c:formatCode>_(* #,##0_);_(* \(#,##0\);_(* "-"??_);_(@_)</c:formatCode>
                <c:ptCount val="5"/>
                <c:pt idx="0">
                  <c:v>203047.67</c:v>
                </c:pt>
                <c:pt idx="1">
                  <c:v>184316.25999999998</c:v>
                </c:pt>
                <c:pt idx="2">
                  <c:v>200418.92999999996</c:v>
                </c:pt>
                <c:pt idx="3">
                  <c:v>181638.92000000007</c:v>
                </c:pt>
                <c:pt idx="4">
                  <c:v>213004.14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E-4184-A84E-9E4D7C1D168D}"/>
            </c:ext>
          </c:extLst>
        </c:ser>
        <c:ser>
          <c:idx val="2"/>
          <c:order val="2"/>
          <c:tx>
            <c:strRef>
              <c:f>Analysis!$M$31</c:f>
              <c:strCache>
                <c:ptCount val="1"/>
                <c:pt idx="0">
                  <c:v>%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Analysis!$J$32:$J$37</c:f>
              <c:strCache>
                <c:ptCount val="5"/>
                <c:pt idx="0">
                  <c:v>Asia</c:v>
                </c:pt>
                <c:pt idx="1">
                  <c:v>Australia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Analysis!$M$32:$M$37</c:f>
              <c:numCache>
                <c:formatCode>0.00%</c:formatCode>
                <c:ptCount val="5"/>
                <c:pt idx="0">
                  <c:v>0.20667987872306953</c:v>
                </c:pt>
                <c:pt idx="1">
                  <c:v>0.18761339277367597</c:v>
                </c:pt>
                <c:pt idx="2">
                  <c:v>0.20400411463085172</c:v>
                </c:pt>
                <c:pt idx="3">
                  <c:v>0.18488815930263736</c:v>
                </c:pt>
                <c:pt idx="4">
                  <c:v>0.21681445456976542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E-4184-A84E-9E4D7C1D1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overlap val="100"/>
        <c:axId val="604932128"/>
        <c:axId val="590310464"/>
      </c:barChart>
      <c:catAx>
        <c:axId val="60493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10464"/>
        <c:crosses val="autoZero"/>
        <c:auto val="1"/>
        <c:lblAlgn val="ctr"/>
        <c:lblOffset val="100"/>
        <c:noMultiLvlLbl val="0"/>
      </c:catAx>
      <c:valAx>
        <c:axId val="59031046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0493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[ChatGPT for Finance World Championship – Advanced Dataset-Martin_Mwaala_Solution.xlsx]Analysis!PivotTable3</c:name>
    <c:fmtId val="0"/>
  </c:pivotSource>
  <c:chart>
    <c:autoTitleDeleted val="1"/>
    <c:pivotFmts>
      <c:pivotFmt>
        <c:idx val="0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Analysis!$D$32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Analysis!$C$33:$C$37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Analysis!$D$33:$D$37</c:f>
              <c:numCache>
                <c:formatCode>_(* #,##0_);_(* \(#,##0\);_(* "-"??_);_(@_)</c:formatCode>
                <c:ptCount val="4"/>
                <c:pt idx="0">
                  <c:v>728198.57999999984</c:v>
                </c:pt>
                <c:pt idx="1">
                  <c:v>636112.12</c:v>
                </c:pt>
                <c:pt idx="2">
                  <c:v>643812.02</c:v>
                </c:pt>
                <c:pt idx="3">
                  <c:v>511875.02999999985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8-47C6-94A6-0297F0F55E4E}"/>
            </c:ext>
          </c:extLst>
        </c:ser>
        <c:ser>
          <c:idx val="1"/>
          <c:order val="1"/>
          <c:tx>
            <c:strRef>
              <c:f>Analysis!$E$32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Analysis!$C$33:$C$37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Analysis!$E$33:$E$37</c:f>
              <c:numCache>
                <c:formatCode>_(* #,##0_);_(* \(#,##0\);_(* "-"??_);_(@_)</c:formatCode>
                <c:ptCount val="4"/>
                <c:pt idx="0">
                  <c:v>287535.43999999994</c:v>
                </c:pt>
                <c:pt idx="1">
                  <c:v>246036.00000000003</c:v>
                </c:pt>
                <c:pt idx="2">
                  <c:v>269817.18</c:v>
                </c:pt>
                <c:pt idx="3">
                  <c:v>179037.30000000002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8-47C6-94A6-0297F0F55E4E}"/>
            </c:ext>
          </c:extLst>
        </c:ser>
        <c:ser>
          <c:idx val="2"/>
          <c:order val="2"/>
          <c:tx>
            <c:strRef>
              <c:f>Analysis!$F$32</c:f>
              <c:strCache>
                <c:ptCount val="1"/>
                <c:pt idx="0">
                  <c:v>%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Analysis!$C$33:$C$37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Analysis!$F$33:$F$37</c:f>
              <c:numCache>
                <c:formatCode>0.00%</c:formatCode>
                <c:ptCount val="4"/>
                <c:pt idx="0">
                  <c:v>0.29267900423474164</c:v>
                </c:pt>
                <c:pt idx="1">
                  <c:v>0.25043720344837811</c:v>
                </c:pt>
                <c:pt idx="2">
                  <c:v>0.27464379197161248</c:v>
                </c:pt>
                <c:pt idx="3">
                  <c:v>0.1822400003452678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8-47C6-94A6-0297F0F55E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020911424"/>
        <c:axId val="646227424"/>
      </c:barChart>
      <c:catAx>
        <c:axId val="20209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27424"/>
        <c:crosses val="autoZero"/>
        <c:auto val="1"/>
        <c:lblAlgn val="ctr"/>
        <c:lblOffset val="100"/>
        <c:noMultiLvlLbl val="0"/>
      </c:catAx>
      <c:valAx>
        <c:axId val="64622742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20209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11</xdr:row>
      <xdr:rowOff>137160</xdr:rowOff>
    </xdr:from>
    <xdr:to>
      <xdr:col>8</xdr:col>
      <xdr:colOff>0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6BBB0-C5A2-4ABD-AAD7-45E1811E5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327660</xdr:colOff>
      <xdr:row>40</xdr:row>
      <xdr:rowOff>144780</xdr:rowOff>
    </xdr:from>
    <xdr:to>
      <xdr:col>7</xdr:col>
      <xdr:colOff>693420</xdr:colOff>
      <xdr:row>55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82B4F-C50C-4C71-A4F0-853D63198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15</xdr:col>
      <xdr:colOff>76200</xdr:colOff>
      <xdr:row>56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170BC3-8961-4847-A6A6-C0DE31BDE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350521</xdr:colOff>
      <xdr:row>58</xdr:row>
      <xdr:rowOff>45720</xdr:rowOff>
    </xdr:from>
    <xdr:to>
      <xdr:col>8</xdr:col>
      <xdr:colOff>380237</xdr:colOff>
      <xdr:row>85</xdr:row>
      <xdr:rowOff>134122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349D1D-8BD5-4296-AC88-551E7E633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1" y="9928860"/>
          <a:ext cx="4822696" cy="39974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Mwaala" refreshedDate="45695.503236805554" createdVersion="6" refreshedVersion="6" minRefreshableVersion="3" recordCount="500" xr:uid="{02B917D2-CA53-4713-8050-798309F10A7D}">
  <cacheSource type="worksheet">
    <worksheetSource ref="B4:K504" sheet="Database"/>
  </cacheSource>
  <cacheFields count="10">
    <cacheField name="Date" numFmtId="14">
      <sharedItems containsSemiMixedTypes="0" containsNonDate="0" containsDate="1" containsString="0" minDate="2020-01-01T00:00:00" maxDate="2021-05-15T00:00:00"/>
    </cacheField>
    <cacheField name="Eomonth" numFmtId="14">
      <sharedItems containsSemiMixedTypes="0" containsNonDate="0" containsDate="1" containsString="0" minDate="2020-01-31T00:00:00" maxDate="2021-06-01T00:00:00"/>
    </cacheField>
    <cacheField name="Year" numFmtId="1">
      <sharedItems containsSemiMixedTypes="0" containsString="0" containsNumber="1" containsInteger="1" minValue="2020" maxValue="2021"/>
    </cacheField>
    <cacheField name="Region" numFmtId="0">
      <sharedItems count="5">
        <s v="South America"/>
        <s v="Australia"/>
        <s v="Asia"/>
        <s v="Europe"/>
        <s v="North America"/>
      </sharedItems>
    </cacheField>
    <cacheField name="Product" numFmtId="0">
      <sharedItems count="4">
        <s v="Product B"/>
        <s v="Product D"/>
        <s v="Product A"/>
        <s v="Product C"/>
      </sharedItems>
    </cacheField>
    <cacheField name="Revenue" numFmtId="164">
      <sharedItems containsSemiMixedTypes="0" containsString="0" containsNumber="1" minValue="954.67" maxValue="8948.57"/>
    </cacheField>
    <cacheField name="Cost" numFmtId="164">
      <sharedItems containsSemiMixedTypes="0" containsString="0" containsNumber="1" minValue="683" maxValue="5081.3500000000004"/>
    </cacheField>
    <cacheField name="Units Sold" numFmtId="0">
      <sharedItems containsSemiMixedTypes="0" containsString="0" containsNumber="1" containsInteger="1" minValue="10" maxValue="99"/>
    </cacheField>
    <cacheField name="Customer Satisfaction" numFmtId="43">
      <sharedItems containsSemiMixedTypes="0" containsString="0" containsNumber="1" minValue="1.01" maxValue="5"/>
    </cacheField>
    <cacheField name="Profit" numFmtId="43">
      <sharedItems containsSemiMixedTypes="0" containsString="0" containsNumber="1" minValue="-3109.1600000000003" maxValue="7391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0-01-01T00:00:00"/>
    <d v="2020-01-31T00:00:00"/>
    <n v="2020"/>
    <x v="0"/>
    <x v="0"/>
    <n v="7284.69"/>
    <n v="2198.6999999999998"/>
    <n v="89"/>
    <n v="3.42"/>
    <n v="5085.99"/>
  </r>
  <r>
    <d v="2020-01-02T00:00:00"/>
    <d v="2020-01-31T00:00:00"/>
    <n v="2020"/>
    <x v="1"/>
    <x v="1"/>
    <n v="5808.37"/>
    <n v="2775.12"/>
    <n v="67"/>
    <n v="4.63"/>
    <n v="3033.25"/>
  </r>
  <r>
    <d v="2020-01-03T00:00:00"/>
    <d v="2020-01-31T00:00:00"/>
    <n v="2020"/>
    <x v="2"/>
    <x v="1"/>
    <n v="3444.13"/>
    <n v="4438.1499999999996"/>
    <n v="64"/>
    <n v="1.96"/>
    <n v="-994.01999999999953"/>
  </r>
  <r>
    <d v="2020-01-04T00:00:00"/>
    <d v="2020-01-31T00:00:00"/>
    <n v="2020"/>
    <x v="1"/>
    <x v="2"/>
    <n v="4714.49"/>
    <n v="3512.67"/>
    <n v="13"/>
    <n v="2.88"/>
    <n v="1201.8199999999997"/>
  </r>
  <r>
    <d v="2020-01-05T00:00:00"/>
    <d v="2020-01-31T00:00:00"/>
    <n v="2020"/>
    <x v="1"/>
    <x v="0"/>
    <n v="3686.57"/>
    <n v="2543.06"/>
    <n v="33"/>
    <n v="2.8"/>
    <n v="1143.5100000000002"/>
  </r>
  <r>
    <d v="2020-01-06T00:00:00"/>
    <d v="2020-01-31T00:00:00"/>
    <n v="2020"/>
    <x v="3"/>
    <x v="2"/>
    <n v="2925.8"/>
    <n v="3458.07"/>
    <n v="43"/>
    <n v="2.89"/>
    <n v="-532.27"/>
  </r>
  <r>
    <d v="2020-01-07T00:00:00"/>
    <d v="2020-01-31T00:00:00"/>
    <n v="2020"/>
    <x v="2"/>
    <x v="3"/>
    <n v="6389.27"/>
    <n v="4119.4799999999996"/>
    <n v="39"/>
    <n v="3.49"/>
    <n v="2269.7900000000009"/>
  </r>
  <r>
    <d v="2020-01-08T00:00:00"/>
    <d v="2020-01-31T00:00:00"/>
    <n v="2020"/>
    <x v="2"/>
    <x v="3"/>
    <n v="7864.12"/>
    <n v="3739.71"/>
    <n v="91"/>
    <n v="2.88"/>
    <n v="4124.41"/>
  </r>
  <r>
    <d v="2020-01-09T00:00:00"/>
    <d v="2020-01-31T00:00:00"/>
    <n v="2020"/>
    <x v="2"/>
    <x v="2"/>
    <n v="2902.15"/>
    <n v="3047.7"/>
    <n v="28"/>
    <n v="2.79"/>
    <n v="-145.54999999999973"/>
  </r>
  <r>
    <d v="2020-01-10T00:00:00"/>
    <d v="2020-01-31T00:00:00"/>
    <n v="2020"/>
    <x v="1"/>
    <x v="1"/>
    <n v="5844.45"/>
    <n v="2482.4499999999998"/>
    <n v="40"/>
    <n v="2.9"/>
    <n v="3362"/>
  </r>
  <r>
    <d v="2020-01-11T00:00:00"/>
    <d v="2020-01-31T00:00:00"/>
    <n v="2020"/>
    <x v="0"/>
    <x v="1"/>
    <n v="4024.04"/>
    <n v="3558.58"/>
    <n v="69"/>
    <n v="3.36"/>
    <n v="465.46000000000004"/>
  </r>
  <r>
    <d v="2020-01-12T00:00:00"/>
    <d v="2020-01-31T00:00:00"/>
    <n v="2020"/>
    <x v="2"/>
    <x v="2"/>
    <n v="4269.3100000000004"/>
    <n v="3314.79"/>
    <n v="69"/>
    <n v="3.15"/>
    <n v="954.52000000000044"/>
  </r>
  <r>
    <d v="2020-01-13T00:00:00"/>
    <d v="2020-01-31T00:00:00"/>
    <n v="2020"/>
    <x v="1"/>
    <x v="2"/>
    <n v="4111.41"/>
    <n v="3716.15"/>
    <n v="28"/>
    <n v="4.42"/>
    <n v="395.25999999999976"/>
  </r>
  <r>
    <d v="2020-01-14T00:00:00"/>
    <d v="2020-01-31T00:00:00"/>
    <n v="2020"/>
    <x v="3"/>
    <x v="3"/>
    <n v="3704.01"/>
    <n v="3508.14"/>
    <n v="58"/>
    <n v="1.2"/>
    <n v="195.87000000000035"/>
  </r>
  <r>
    <d v="2020-01-15T00:00:00"/>
    <d v="2020-01-31T00:00:00"/>
    <n v="2020"/>
    <x v="0"/>
    <x v="1"/>
    <n v="5072.78"/>
    <n v="3839.64"/>
    <n v="72"/>
    <n v="4.33"/>
    <n v="1233.1399999999999"/>
  </r>
  <r>
    <d v="2020-01-16T00:00:00"/>
    <d v="2020-01-31T00:00:00"/>
    <n v="2020"/>
    <x v="3"/>
    <x v="2"/>
    <n v="3753.57"/>
    <n v="2571.81"/>
    <n v="92"/>
    <n v="4.38"/>
    <n v="1181.7600000000002"/>
  </r>
  <r>
    <d v="2020-01-17T00:00:00"/>
    <d v="2020-01-31T00:00:00"/>
    <n v="2020"/>
    <x v="0"/>
    <x v="3"/>
    <n v="5405.69"/>
    <n v="4053.92"/>
    <n v="31"/>
    <n v="2.14"/>
    <n v="1351.7699999999995"/>
  </r>
  <r>
    <d v="2020-01-18T00:00:00"/>
    <d v="2020-01-31T00:00:00"/>
    <n v="2020"/>
    <x v="1"/>
    <x v="1"/>
    <n v="4924.6400000000003"/>
    <n v="3158.08"/>
    <n v="33"/>
    <n v="2.85"/>
    <n v="1766.5600000000004"/>
  </r>
  <r>
    <d v="2020-01-19T00:00:00"/>
    <d v="2020-01-31T00:00:00"/>
    <n v="2020"/>
    <x v="4"/>
    <x v="0"/>
    <n v="4641.58"/>
    <n v="4660.21"/>
    <n v="85"/>
    <n v="2.75"/>
    <n v="-18.630000000000109"/>
  </r>
  <r>
    <d v="2020-01-20T00:00:00"/>
    <d v="2020-01-31T00:00:00"/>
    <n v="2020"/>
    <x v="0"/>
    <x v="3"/>
    <n v="3638.65"/>
    <n v="2448.65"/>
    <n v="39"/>
    <n v="1.87"/>
    <n v="1190"/>
  </r>
  <r>
    <d v="2020-01-21T00:00:00"/>
    <d v="2020-01-31T00:00:00"/>
    <n v="2020"/>
    <x v="3"/>
    <x v="1"/>
    <n v="4134.84"/>
    <n v="4388.7700000000004"/>
    <n v="67"/>
    <n v="2.59"/>
    <n v="-253.93000000000029"/>
  </r>
  <r>
    <d v="2020-01-22T00:00:00"/>
    <d v="2020-01-31T00:00:00"/>
    <n v="2020"/>
    <x v="1"/>
    <x v="1"/>
    <n v="6133.09"/>
    <n v="3158.33"/>
    <n v="40"/>
    <n v="1.18"/>
    <n v="2974.76"/>
  </r>
  <r>
    <d v="2020-01-23T00:00:00"/>
    <d v="2020-01-31T00:00:00"/>
    <n v="2020"/>
    <x v="0"/>
    <x v="3"/>
    <n v="5751.38"/>
    <n v="2478.87"/>
    <n v="73"/>
    <n v="2.11"/>
    <n v="3272.51"/>
  </r>
  <r>
    <d v="2020-01-24T00:00:00"/>
    <d v="2020-01-31T00:00:00"/>
    <n v="2020"/>
    <x v="4"/>
    <x v="0"/>
    <n v="3533.67"/>
    <n v="2612.89"/>
    <n v="28"/>
    <n v="4.2699999999999996"/>
    <n v="920.7800000000002"/>
  </r>
  <r>
    <d v="2020-01-25T00:00:00"/>
    <d v="2020-01-31T00:00:00"/>
    <n v="2020"/>
    <x v="4"/>
    <x v="3"/>
    <n v="5149"/>
    <n v="2743.72"/>
    <n v="57"/>
    <n v="2.14"/>
    <n v="2405.2800000000002"/>
  </r>
  <r>
    <d v="2020-01-26T00:00:00"/>
    <d v="2020-01-31T00:00:00"/>
    <n v="2020"/>
    <x v="2"/>
    <x v="1"/>
    <n v="6127.08"/>
    <n v="3339.33"/>
    <n v="54"/>
    <n v="4.2699999999999996"/>
    <n v="2787.75"/>
  </r>
  <r>
    <d v="2020-01-27T00:00:00"/>
    <d v="2020-01-31T00:00:00"/>
    <n v="2020"/>
    <x v="2"/>
    <x v="2"/>
    <n v="2495.89"/>
    <n v="3418.27"/>
    <n v="64"/>
    <n v="3.13"/>
    <n v="-922.38000000000011"/>
  </r>
  <r>
    <d v="2020-01-28T00:00:00"/>
    <d v="2020-01-31T00:00:00"/>
    <n v="2020"/>
    <x v="3"/>
    <x v="2"/>
    <n v="5815.04"/>
    <n v="2541.04"/>
    <n v="64"/>
    <n v="4.5199999999999996"/>
    <n v="3274"/>
  </r>
  <r>
    <d v="2020-01-29T00:00:00"/>
    <d v="2020-01-31T00:00:00"/>
    <n v="2020"/>
    <x v="0"/>
    <x v="3"/>
    <n v="4006.06"/>
    <n v="2980.52"/>
    <n v="27"/>
    <n v="3.3"/>
    <n v="1025.54"/>
  </r>
  <r>
    <d v="2020-01-30T00:00:00"/>
    <d v="2020-01-31T00:00:00"/>
    <n v="2020"/>
    <x v="0"/>
    <x v="1"/>
    <n v="5855.9"/>
    <n v="4713.82"/>
    <n v="72"/>
    <n v="1.1200000000000001"/>
    <n v="1142.08"/>
  </r>
  <r>
    <d v="2020-01-31T00:00:00"/>
    <d v="2020-01-31T00:00:00"/>
    <n v="2020"/>
    <x v="2"/>
    <x v="2"/>
    <n v="3855.11"/>
    <n v="4382.03"/>
    <n v="56"/>
    <n v="3.7"/>
    <n v="-526.91999999999962"/>
  </r>
  <r>
    <d v="2020-02-01T00:00:00"/>
    <d v="2020-02-29T00:00:00"/>
    <n v="2020"/>
    <x v="0"/>
    <x v="1"/>
    <n v="2292.6799999999998"/>
    <n v="3349.06"/>
    <n v="84"/>
    <n v="1.18"/>
    <n v="-1056.3800000000001"/>
  </r>
  <r>
    <d v="2020-02-02T00:00:00"/>
    <d v="2020-02-29T00:00:00"/>
    <n v="2020"/>
    <x v="0"/>
    <x v="3"/>
    <n v="2558.69"/>
    <n v="3030.4"/>
    <n v="66"/>
    <n v="2.8"/>
    <n v="-471.71000000000004"/>
  </r>
  <r>
    <d v="2020-02-03T00:00:00"/>
    <d v="2020-02-29T00:00:00"/>
    <n v="2020"/>
    <x v="4"/>
    <x v="2"/>
    <n v="5072.13"/>
    <n v="3096.03"/>
    <n v="54"/>
    <n v="4.72"/>
    <n v="1976.1"/>
  </r>
  <r>
    <d v="2020-02-04T00:00:00"/>
    <d v="2020-02-29T00:00:00"/>
    <n v="2020"/>
    <x v="2"/>
    <x v="1"/>
    <n v="5389.58"/>
    <n v="3490.81"/>
    <n v="42"/>
    <n v="1.66"/>
    <n v="1898.77"/>
  </r>
  <r>
    <d v="2020-02-05T00:00:00"/>
    <d v="2020-02-29T00:00:00"/>
    <n v="2020"/>
    <x v="1"/>
    <x v="2"/>
    <n v="3643.53"/>
    <n v="2181.77"/>
    <n v="26"/>
    <n v="2.56"/>
    <n v="1461.7600000000002"/>
  </r>
  <r>
    <d v="2020-02-06T00:00:00"/>
    <d v="2020-02-29T00:00:00"/>
    <n v="2020"/>
    <x v="2"/>
    <x v="3"/>
    <n v="5957.89"/>
    <n v="2794.1"/>
    <n v="79"/>
    <n v="3.92"/>
    <n v="3163.7900000000004"/>
  </r>
  <r>
    <d v="2020-02-07T00:00:00"/>
    <d v="2020-02-29T00:00:00"/>
    <n v="2020"/>
    <x v="1"/>
    <x v="1"/>
    <n v="2507.7199999999998"/>
    <n v="1665.13"/>
    <n v="13"/>
    <n v="4.53"/>
    <n v="842.58999999999969"/>
  </r>
  <r>
    <d v="2020-02-08T00:00:00"/>
    <d v="2020-02-29T00:00:00"/>
    <n v="2020"/>
    <x v="4"/>
    <x v="2"/>
    <n v="4900.88"/>
    <n v="3319.38"/>
    <n v="29"/>
    <n v="3.68"/>
    <n v="1581.5"/>
  </r>
  <r>
    <d v="2020-02-09T00:00:00"/>
    <d v="2020-02-29T00:00:00"/>
    <n v="2020"/>
    <x v="3"/>
    <x v="3"/>
    <n v="3183.48"/>
    <n v="3517.76"/>
    <n v="56"/>
    <n v="2.0299999999999998"/>
    <n v="-334.2800000000002"/>
  </r>
  <r>
    <d v="2020-02-10T00:00:00"/>
    <d v="2020-02-29T00:00:00"/>
    <n v="2020"/>
    <x v="0"/>
    <x v="2"/>
    <n v="4022.25"/>
    <n v="2613.4499999999998"/>
    <n v="24"/>
    <n v="3.7"/>
    <n v="1408.8000000000002"/>
  </r>
  <r>
    <d v="2020-02-11T00:00:00"/>
    <d v="2020-02-29T00:00:00"/>
    <n v="2020"/>
    <x v="4"/>
    <x v="2"/>
    <n v="5071.1000000000004"/>
    <n v="4259.1899999999996"/>
    <n v="79"/>
    <n v="2.19"/>
    <n v="811.91000000000076"/>
  </r>
  <r>
    <d v="2020-02-12T00:00:00"/>
    <d v="2020-02-29T00:00:00"/>
    <n v="2020"/>
    <x v="0"/>
    <x v="0"/>
    <n v="3709.38"/>
    <n v="2019.39"/>
    <n v="56"/>
    <n v="3.87"/>
    <n v="1689.99"/>
  </r>
  <r>
    <d v="2020-02-13T00:00:00"/>
    <d v="2020-02-29T00:00:00"/>
    <n v="2020"/>
    <x v="3"/>
    <x v="0"/>
    <n v="4423.17"/>
    <n v="1828.5"/>
    <n v="87"/>
    <n v="4.82"/>
    <n v="2594.67"/>
  </r>
  <r>
    <d v="2020-02-14T00:00:00"/>
    <d v="2020-02-29T00:00:00"/>
    <n v="2020"/>
    <x v="3"/>
    <x v="3"/>
    <n v="6509.44"/>
    <n v="3179.56"/>
    <n v="84"/>
    <n v="3.89"/>
    <n v="3329.8799999999997"/>
  </r>
  <r>
    <d v="2020-02-15T00:00:00"/>
    <d v="2020-02-29T00:00:00"/>
    <n v="2020"/>
    <x v="4"/>
    <x v="0"/>
    <n v="4134.66"/>
    <n v="3837.68"/>
    <n v="18"/>
    <n v="4.45"/>
    <n v="296.98"/>
  </r>
  <r>
    <d v="2020-02-16T00:00:00"/>
    <d v="2020-02-29T00:00:00"/>
    <n v="2020"/>
    <x v="3"/>
    <x v="3"/>
    <n v="6253.54"/>
    <n v="4347.1400000000003"/>
    <n v="99"/>
    <n v="1.01"/>
    <n v="1906.3999999999996"/>
  </r>
  <r>
    <d v="2020-02-17T00:00:00"/>
    <d v="2020-02-29T00:00:00"/>
    <n v="2020"/>
    <x v="1"/>
    <x v="0"/>
    <n v="3305.44"/>
    <n v="2632.89"/>
    <n v="25"/>
    <n v="3.87"/>
    <n v="672.55000000000018"/>
  </r>
  <r>
    <d v="2020-02-18T00:00:00"/>
    <d v="2020-02-29T00:00:00"/>
    <n v="2020"/>
    <x v="3"/>
    <x v="2"/>
    <n v="5794.71"/>
    <n v="3862.94"/>
    <n v="78"/>
    <n v="4.32"/>
    <n v="1931.77"/>
  </r>
  <r>
    <d v="2020-02-19T00:00:00"/>
    <d v="2020-02-29T00:00:00"/>
    <n v="2020"/>
    <x v="0"/>
    <x v="3"/>
    <n v="7162.35"/>
    <n v="2969.19"/>
    <n v="70"/>
    <n v="1.1599999999999999"/>
    <n v="4193.16"/>
  </r>
  <r>
    <d v="2020-02-20T00:00:00"/>
    <d v="2020-02-29T00:00:00"/>
    <n v="2020"/>
    <x v="0"/>
    <x v="3"/>
    <n v="1292.53"/>
    <n v="2861.9"/>
    <n v="19"/>
    <n v="4.49"/>
    <n v="-1569.3700000000001"/>
  </r>
  <r>
    <d v="2020-02-21T00:00:00"/>
    <d v="2020-02-29T00:00:00"/>
    <n v="2020"/>
    <x v="0"/>
    <x v="2"/>
    <n v="3804.66"/>
    <n v="3706.93"/>
    <n v="59"/>
    <n v="2.0299999999999998"/>
    <n v="97.730000000000018"/>
  </r>
  <r>
    <d v="2020-02-22T00:00:00"/>
    <d v="2020-02-29T00:00:00"/>
    <n v="2020"/>
    <x v="0"/>
    <x v="3"/>
    <n v="5865.61"/>
    <n v="3521.86"/>
    <n v="12"/>
    <n v="3.66"/>
    <n v="2343.7499999999995"/>
  </r>
  <r>
    <d v="2020-02-23T00:00:00"/>
    <d v="2020-02-29T00:00:00"/>
    <n v="2020"/>
    <x v="1"/>
    <x v="3"/>
    <n v="4695.43"/>
    <n v="1738.89"/>
    <n v="86"/>
    <n v="4.2"/>
    <n v="2956.54"/>
  </r>
  <r>
    <d v="2020-02-24T00:00:00"/>
    <d v="2020-02-29T00:00:00"/>
    <n v="2020"/>
    <x v="2"/>
    <x v="0"/>
    <n v="5556.72"/>
    <n v="4181.2299999999996"/>
    <n v="79"/>
    <n v="3.65"/>
    <n v="1375.4900000000007"/>
  </r>
  <r>
    <d v="2020-02-25T00:00:00"/>
    <d v="2020-02-29T00:00:00"/>
    <n v="2020"/>
    <x v="4"/>
    <x v="3"/>
    <n v="4094.02"/>
    <n v="4104.07"/>
    <n v="90"/>
    <n v="1.37"/>
    <n v="-10.049999999999727"/>
  </r>
  <r>
    <d v="2020-02-26T00:00:00"/>
    <d v="2020-02-29T00:00:00"/>
    <n v="2020"/>
    <x v="0"/>
    <x v="1"/>
    <n v="5129.88"/>
    <n v="2499.5500000000002"/>
    <n v="60"/>
    <n v="3.39"/>
    <n v="2630.33"/>
  </r>
  <r>
    <d v="2020-02-27T00:00:00"/>
    <d v="2020-02-29T00:00:00"/>
    <n v="2020"/>
    <x v="3"/>
    <x v="2"/>
    <n v="4766.4799999999996"/>
    <n v="3316.64"/>
    <n v="28"/>
    <n v="3.2"/>
    <n v="1449.8399999999997"/>
  </r>
  <r>
    <d v="2020-02-28T00:00:00"/>
    <d v="2020-02-29T00:00:00"/>
    <n v="2020"/>
    <x v="0"/>
    <x v="0"/>
    <n v="6751.67"/>
    <n v="3395.22"/>
    <n v="51"/>
    <n v="4.5999999999999996"/>
    <n v="3356.4500000000003"/>
  </r>
  <r>
    <d v="2020-02-29T00:00:00"/>
    <d v="2020-02-29T00:00:00"/>
    <n v="2020"/>
    <x v="3"/>
    <x v="0"/>
    <n v="5381.63"/>
    <n v="3208.54"/>
    <n v="44"/>
    <n v="2.62"/>
    <n v="2173.09"/>
  </r>
  <r>
    <d v="2020-03-01T00:00:00"/>
    <d v="2020-03-31T00:00:00"/>
    <n v="2020"/>
    <x v="3"/>
    <x v="1"/>
    <n v="5506.4"/>
    <n v="2559.7600000000002"/>
    <n v="55"/>
    <n v="2.2799999999999998"/>
    <n v="2946.6399999999994"/>
  </r>
  <r>
    <d v="2020-03-02T00:00:00"/>
    <d v="2020-03-31T00:00:00"/>
    <n v="2020"/>
    <x v="0"/>
    <x v="2"/>
    <n v="4382.18"/>
    <n v="2462.6999999999998"/>
    <n v="35"/>
    <n v="4"/>
    <n v="1919.4800000000005"/>
  </r>
  <r>
    <d v="2020-03-03T00:00:00"/>
    <d v="2020-03-31T00:00:00"/>
    <n v="2020"/>
    <x v="1"/>
    <x v="2"/>
    <n v="4268.59"/>
    <n v="2979.56"/>
    <n v="78"/>
    <n v="2.65"/>
    <n v="1289.0300000000002"/>
  </r>
  <r>
    <d v="2020-03-04T00:00:00"/>
    <d v="2020-03-31T00:00:00"/>
    <n v="2020"/>
    <x v="3"/>
    <x v="0"/>
    <n v="4351.16"/>
    <n v="3938.18"/>
    <n v="73"/>
    <n v="3.58"/>
    <n v="412.98"/>
  </r>
  <r>
    <d v="2020-03-05T00:00:00"/>
    <d v="2020-03-31T00:00:00"/>
    <n v="2020"/>
    <x v="3"/>
    <x v="3"/>
    <n v="5591.68"/>
    <n v="3434.88"/>
    <n v="46"/>
    <n v="3.59"/>
    <n v="2156.8000000000002"/>
  </r>
  <r>
    <d v="2020-03-06T00:00:00"/>
    <d v="2020-03-31T00:00:00"/>
    <n v="2020"/>
    <x v="0"/>
    <x v="0"/>
    <n v="4368.5200000000004"/>
    <n v="2703.51"/>
    <n v="93"/>
    <n v="4.55"/>
    <n v="1665.0100000000002"/>
  </r>
  <r>
    <d v="2020-03-07T00:00:00"/>
    <d v="2020-03-31T00:00:00"/>
    <n v="2020"/>
    <x v="3"/>
    <x v="2"/>
    <n v="5434.66"/>
    <n v="3617.36"/>
    <n v="58"/>
    <n v="3.39"/>
    <n v="1817.2999999999997"/>
  </r>
  <r>
    <d v="2020-03-08T00:00:00"/>
    <d v="2020-03-31T00:00:00"/>
    <n v="2020"/>
    <x v="3"/>
    <x v="1"/>
    <n v="8113.1"/>
    <n v="721.17"/>
    <n v="30"/>
    <n v="3.01"/>
    <n v="7391.93"/>
  </r>
  <r>
    <d v="2020-03-09T00:00:00"/>
    <d v="2020-03-31T00:00:00"/>
    <n v="2020"/>
    <x v="0"/>
    <x v="0"/>
    <n v="6306.69"/>
    <n v="3919.01"/>
    <n v="83"/>
    <n v="1.56"/>
    <n v="2387.6799999999994"/>
  </r>
  <r>
    <d v="2020-03-10T00:00:00"/>
    <d v="2020-03-31T00:00:00"/>
    <n v="2020"/>
    <x v="0"/>
    <x v="2"/>
    <n v="4510.96"/>
    <n v="1608.23"/>
    <n v="73"/>
    <n v="1.46"/>
    <n v="2902.73"/>
  </r>
  <r>
    <d v="2020-03-11T00:00:00"/>
    <d v="2020-03-31T00:00:00"/>
    <n v="2020"/>
    <x v="4"/>
    <x v="0"/>
    <n v="6801.82"/>
    <n v="2710.05"/>
    <n v="14"/>
    <n v="1.62"/>
    <n v="4091.7699999999995"/>
  </r>
  <r>
    <d v="2020-03-12T00:00:00"/>
    <d v="2020-03-31T00:00:00"/>
    <n v="2020"/>
    <x v="1"/>
    <x v="3"/>
    <n v="4387.8900000000003"/>
    <n v="2104.2600000000002"/>
    <n v="79"/>
    <n v="1.69"/>
    <n v="2283.63"/>
  </r>
  <r>
    <d v="2020-03-13T00:00:00"/>
    <d v="2020-03-31T00:00:00"/>
    <n v="2020"/>
    <x v="1"/>
    <x v="0"/>
    <n v="1942.81"/>
    <n v="1964.25"/>
    <n v="99"/>
    <n v="3.55"/>
    <n v="-21.440000000000055"/>
  </r>
  <r>
    <d v="2020-03-14T00:00:00"/>
    <d v="2020-03-31T00:00:00"/>
    <n v="2020"/>
    <x v="3"/>
    <x v="0"/>
    <n v="3487.87"/>
    <n v="3928.66"/>
    <n v="13"/>
    <n v="3.96"/>
    <n v="-440.78999999999996"/>
  </r>
  <r>
    <d v="2020-03-15T00:00:00"/>
    <d v="2020-03-31T00:00:00"/>
    <n v="2020"/>
    <x v="1"/>
    <x v="2"/>
    <n v="2193.81"/>
    <n v="2625.84"/>
    <n v="48"/>
    <n v="3.12"/>
    <n v="-432.0300000000002"/>
  </r>
  <r>
    <d v="2020-03-16T00:00:00"/>
    <d v="2020-03-31T00:00:00"/>
    <n v="2020"/>
    <x v="3"/>
    <x v="2"/>
    <n v="4472.7299999999996"/>
    <n v="3277.2"/>
    <n v="44"/>
    <n v="4.32"/>
    <n v="1195.5299999999997"/>
  </r>
  <r>
    <d v="2020-03-17T00:00:00"/>
    <d v="2020-03-31T00:00:00"/>
    <n v="2020"/>
    <x v="4"/>
    <x v="2"/>
    <n v="5027.63"/>
    <n v="2962.46"/>
    <n v="10"/>
    <n v="4.97"/>
    <n v="2065.17"/>
  </r>
  <r>
    <d v="2020-03-18T00:00:00"/>
    <d v="2020-03-31T00:00:00"/>
    <n v="2020"/>
    <x v="0"/>
    <x v="0"/>
    <n v="7514.66"/>
    <n v="3381.63"/>
    <n v="33"/>
    <n v="4.28"/>
    <n v="4133.03"/>
  </r>
  <r>
    <d v="2020-03-19T00:00:00"/>
    <d v="2020-03-31T00:00:00"/>
    <n v="2020"/>
    <x v="0"/>
    <x v="3"/>
    <n v="5490.39"/>
    <n v="3061.46"/>
    <n v="66"/>
    <n v="3.78"/>
    <n v="2428.9300000000003"/>
  </r>
  <r>
    <d v="2020-03-20T00:00:00"/>
    <d v="2020-03-31T00:00:00"/>
    <n v="2020"/>
    <x v="0"/>
    <x v="1"/>
    <n v="4671.3500000000004"/>
    <n v="1973.61"/>
    <n v="79"/>
    <n v="3.13"/>
    <n v="2697.7400000000007"/>
  </r>
  <r>
    <d v="2020-03-21T00:00:00"/>
    <d v="2020-03-31T00:00:00"/>
    <n v="2020"/>
    <x v="1"/>
    <x v="1"/>
    <n v="6244.11"/>
    <n v="3797.01"/>
    <n v="50"/>
    <n v="2.8"/>
    <n v="2447.0999999999995"/>
  </r>
  <r>
    <d v="2020-03-22T00:00:00"/>
    <d v="2020-03-31T00:00:00"/>
    <n v="2020"/>
    <x v="4"/>
    <x v="2"/>
    <n v="1683.3"/>
    <n v="2604.9899999999998"/>
    <n v="63"/>
    <n v="1.34"/>
    <n v="-921.68999999999983"/>
  </r>
  <r>
    <d v="2020-03-23T00:00:00"/>
    <d v="2020-03-31T00:00:00"/>
    <n v="2020"/>
    <x v="1"/>
    <x v="2"/>
    <n v="5353.42"/>
    <n v="1754.73"/>
    <n v="55"/>
    <n v="2.6"/>
    <n v="3598.69"/>
  </r>
  <r>
    <d v="2020-03-24T00:00:00"/>
    <d v="2020-03-31T00:00:00"/>
    <n v="2020"/>
    <x v="1"/>
    <x v="0"/>
    <n v="6156.3"/>
    <n v="2657.51"/>
    <n v="69"/>
    <n v="4.6399999999999997"/>
    <n v="3498.79"/>
  </r>
  <r>
    <d v="2020-03-25T00:00:00"/>
    <d v="2020-03-31T00:00:00"/>
    <n v="2020"/>
    <x v="4"/>
    <x v="1"/>
    <n v="2782.12"/>
    <n v="4200.6099999999997"/>
    <n v="69"/>
    <n v="4.2300000000000004"/>
    <n v="-1418.4899999999998"/>
  </r>
  <r>
    <d v="2020-03-26T00:00:00"/>
    <d v="2020-03-31T00:00:00"/>
    <n v="2020"/>
    <x v="4"/>
    <x v="2"/>
    <n v="6715.63"/>
    <n v="3680.18"/>
    <n v="66"/>
    <n v="1.86"/>
    <n v="3035.4500000000003"/>
  </r>
  <r>
    <d v="2020-03-27T00:00:00"/>
    <d v="2020-03-31T00:00:00"/>
    <n v="2020"/>
    <x v="4"/>
    <x v="3"/>
    <n v="5507.74"/>
    <n v="2721.08"/>
    <n v="40"/>
    <n v="2.87"/>
    <n v="2786.66"/>
  </r>
  <r>
    <d v="2020-03-28T00:00:00"/>
    <d v="2020-03-31T00:00:00"/>
    <n v="2020"/>
    <x v="4"/>
    <x v="3"/>
    <n v="4377.07"/>
    <n v="2720.59"/>
    <n v="93"/>
    <n v="4.2699999999999996"/>
    <n v="1656.4799999999996"/>
  </r>
  <r>
    <d v="2020-03-29T00:00:00"/>
    <d v="2020-03-31T00:00:00"/>
    <n v="2020"/>
    <x v="0"/>
    <x v="2"/>
    <n v="5949.17"/>
    <n v="2742.69"/>
    <n v="33"/>
    <n v="1.27"/>
    <n v="3206.48"/>
  </r>
  <r>
    <d v="2020-03-30T00:00:00"/>
    <d v="2020-03-31T00:00:00"/>
    <n v="2020"/>
    <x v="2"/>
    <x v="2"/>
    <n v="8406.0400000000009"/>
    <n v="4661.3999999999996"/>
    <n v="98"/>
    <n v="2.5499999999999998"/>
    <n v="3744.6400000000012"/>
  </r>
  <r>
    <d v="2020-03-31T00:00:00"/>
    <d v="2020-03-31T00:00:00"/>
    <n v="2020"/>
    <x v="2"/>
    <x v="1"/>
    <n v="5272.8"/>
    <n v="3305.55"/>
    <n v="45"/>
    <n v="4.41"/>
    <n v="1967.25"/>
  </r>
  <r>
    <d v="2020-04-01T00:00:00"/>
    <d v="2020-04-30T00:00:00"/>
    <n v="2020"/>
    <x v="4"/>
    <x v="1"/>
    <n v="5372.33"/>
    <n v="3344.03"/>
    <n v="94"/>
    <n v="2.62"/>
    <n v="2028.2999999999997"/>
  </r>
  <r>
    <d v="2020-04-02T00:00:00"/>
    <d v="2020-04-30T00:00:00"/>
    <n v="2020"/>
    <x v="2"/>
    <x v="0"/>
    <n v="4310.96"/>
    <n v="3824.23"/>
    <n v="39"/>
    <n v="1.31"/>
    <n v="486.73"/>
  </r>
  <r>
    <d v="2020-04-03T00:00:00"/>
    <d v="2020-04-30T00:00:00"/>
    <n v="2020"/>
    <x v="2"/>
    <x v="1"/>
    <n v="3725.23"/>
    <n v="3191.03"/>
    <n v="33"/>
    <n v="3.17"/>
    <n v="534.19999999999982"/>
  </r>
  <r>
    <d v="2020-04-04T00:00:00"/>
    <d v="2020-04-30T00:00:00"/>
    <n v="2020"/>
    <x v="4"/>
    <x v="3"/>
    <n v="6245.5"/>
    <n v="2792.77"/>
    <n v="39"/>
    <n v="4.45"/>
    <n v="3452.73"/>
  </r>
  <r>
    <d v="2020-04-05T00:00:00"/>
    <d v="2020-04-30T00:00:00"/>
    <n v="2020"/>
    <x v="2"/>
    <x v="3"/>
    <n v="3715.87"/>
    <n v="2842.92"/>
    <n v="95"/>
    <n v="3.36"/>
    <n v="872.94999999999982"/>
  </r>
  <r>
    <d v="2020-04-06T00:00:00"/>
    <d v="2020-04-30T00:00:00"/>
    <n v="2020"/>
    <x v="1"/>
    <x v="2"/>
    <n v="5107.3500000000004"/>
    <n v="2942.72"/>
    <n v="16"/>
    <n v="1.91"/>
    <n v="2164.6300000000006"/>
  </r>
  <r>
    <d v="2020-04-07T00:00:00"/>
    <d v="2020-04-30T00:00:00"/>
    <n v="2020"/>
    <x v="3"/>
    <x v="1"/>
    <n v="4283.51"/>
    <n v="2970.22"/>
    <n v="44"/>
    <n v="2.54"/>
    <n v="1313.2900000000004"/>
  </r>
  <r>
    <d v="2020-04-08T00:00:00"/>
    <d v="2020-04-30T00:00:00"/>
    <n v="2020"/>
    <x v="3"/>
    <x v="0"/>
    <n v="5718.47"/>
    <n v="3582.1"/>
    <n v="64"/>
    <n v="2.8"/>
    <n v="2136.3700000000003"/>
  </r>
  <r>
    <d v="2020-04-09T00:00:00"/>
    <d v="2020-04-30T00:00:00"/>
    <n v="2020"/>
    <x v="4"/>
    <x v="3"/>
    <n v="5500.49"/>
    <n v="3041.56"/>
    <n v="23"/>
    <n v="3.32"/>
    <n v="2458.9299999999998"/>
  </r>
  <r>
    <d v="2020-04-10T00:00:00"/>
    <d v="2020-04-30T00:00:00"/>
    <n v="2020"/>
    <x v="0"/>
    <x v="3"/>
    <n v="6556.31"/>
    <n v="3586.11"/>
    <n v="19"/>
    <n v="4.04"/>
    <n v="2970.2000000000003"/>
  </r>
  <r>
    <d v="2020-04-11T00:00:00"/>
    <d v="2020-04-30T00:00:00"/>
    <n v="2020"/>
    <x v="4"/>
    <x v="0"/>
    <n v="4234.9799999999996"/>
    <n v="2935.43"/>
    <n v="89"/>
    <n v="1.4"/>
    <n v="1299.5499999999997"/>
  </r>
  <r>
    <d v="2020-04-12T00:00:00"/>
    <d v="2020-04-30T00:00:00"/>
    <n v="2020"/>
    <x v="0"/>
    <x v="0"/>
    <n v="4595.1899999999996"/>
    <n v="3062.91"/>
    <n v="25"/>
    <n v="4.5599999999999996"/>
    <n v="1532.2799999999997"/>
  </r>
  <r>
    <d v="2020-04-13T00:00:00"/>
    <d v="2020-04-30T00:00:00"/>
    <n v="2020"/>
    <x v="3"/>
    <x v="3"/>
    <n v="3531.85"/>
    <n v="1401.44"/>
    <n v="63"/>
    <n v="1.05"/>
    <n v="2130.41"/>
  </r>
  <r>
    <d v="2020-04-14T00:00:00"/>
    <d v="2020-04-30T00:00:00"/>
    <n v="2020"/>
    <x v="4"/>
    <x v="3"/>
    <n v="4333.5600000000004"/>
    <n v="3733.06"/>
    <n v="98"/>
    <n v="2.48"/>
    <n v="600.50000000000045"/>
  </r>
  <r>
    <d v="2020-04-15T00:00:00"/>
    <d v="2020-04-30T00:00:00"/>
    <n v="2020"/>
    <x v="1"/>
    <x v="0"/>
    <n v="5565.95"/>
    <n v="3277.19"/>
    <n v="86"/>
    <n v="1.1100000000000001"/>
    <n v="2288.7599999999998"/>
  </r>
  <r>
    <d v="2020-04-16T00:00:00"/>
    <d v="2020-04-30T00:00:00"/>
    <n v="2020"/>
    <x v="2"/>
    <x v="3"/>
    <n v="6135.48"/>
    <n v="3798.41"/>
    <n v="79"/>
    <n v="2.57"/>
    <n v="2337.0699999999997"/>
  </r>
  <r>
    <d v="2020-04-17T00:00:00"/>
    <d v="2020-04-30T00:00:00"/>
    <n v="2020"/>
    <x v="0"/>
    <x v="2"/>
    <n v="3616.75"/>
    <n v="683"/>
    <n v="53"/>
    <n v="3.1"/>
    <n v="2933.75"/>
  </r>
  <r>
    <d v="2020-04-18T00:00:00"/>
    <d v="2020-04-30T00:00:00"/>
    <n v="2020"/>
    <x v="2"/>
    <x v="2"/>
    <n v="6304.41"/>
    <n v="4670.7"/>
    <n v="82"/>
    <n v="3.05"/>
    <n v="1633.71"/>
  </r>
  <r>
    <d v="2020-04-19T00:00:00"/>
    <d v="2020-04-30T00:00:00"/>
    <n v="2020"/>
    <x v="2"/>
    <x v="0"/>
    <n v="7033.46"/>
    <n v="2888.33"/>
    <n v="54"/>
    <n v="1.66"/>
    <n v="4145.13"/>
  </r>
  <r>
    <d v="2020-04-20T00:00:00"/>
    <d v="2020-04-30T00:00:00"/>
    <n v="2020"/>
    <x v="4"/>
    <x v="1"/>
    <n v="5620.15"/>
    <n v="3886.55"/>
    <n v="65"/>
    <n v="3.58"/>
    <n v="1733.5999999999995"/>
  </r>
  <r>
    <d v="2020-04-21T00:00:00"/>
    <d v="2020-04-30T00:00:00"/>
    <n v="2020"/>
    <x v="2"/>
    <x v="0"/>
    <n v="7815.19"/>
    <n v="2168.08"/>
    <n v="93"/>
    <n v="1.18"/>
    <n v="5647.11"/>
  </r>
  <r>
    <d v="2020-04-22T00:00:00"/>
    <d v="2020-04-30T00:00:00"/>
    <n v="2020"/>
    <x v="1"/>
    <x v="0"/>
    <n v="3839.32"/>
    <n v="3490.22"/>
    <n v="91"/>
    <n v="4.05"/>
    <n v="349.10000000000036"/>
  </r>
  <r>
    <d v="2020-04-23T00:00:00"/>
    <d v="2020-04-30T00:00:00"/>
    <n v="2020"/>
    <x v="2"/>
    <x v="1"/>
    <n v="3133.02"/>
    <n v="2157.27"/>
    <n v="66"/>
    <n v="4.79"/>
    <n v="975.75"/>
  </r>
  <r>
    <d v="2020-04-24T00:00:00"/>
    <d v="2020-04-30T00:00:00"/>
    <n v="2020"/>
    <x v="4"/>
    <x v="1"/>
    <n v="2331.92"/>
    <n v="2500.98"/>
    <n v="30"/>
    <n v="2.36"/>
    <n v="-169.05999999999995"/>
  </r>
  <r>
    <d v="2020-04-25T00:00:00"/>
    <d v="2020-04-30T00:00:00"/>
    <n v="2020"/>
    <x v="1"/>
    <x v="1"/>
    <n v="7244.07"/>
    <n v="4531.2299999999996"/>
    <n v="77"/>
    <n v="3.07"/>
    <n v="2712.84"/>
  </r>
  <r>
    <d v="2020-04-26T00:00:00"/>
    <d v="2020-04-30T00:00:00"/>
    <n v="2020"/>
    <x v="3"/>
    <x v="2"/>
    <n v="5981.55"/>
    <n v="2847.45"/>
    <n v="59"/>
    <n v="2.52"/>
    <n v="3134.1000000000004"/>
  </r>
  <r>
    <d v="2020-04-27T00:00:00"/>
    <d v="2020-04-30T00:00:00"/>
    <n v="2020"/>
    <x v="2"/>
    <x v="3"/>
    <n v="4916.62"/>
    <n v="3173.95"/>
    <n v="42"/>
    <n v="1.03"/>
    <n v="1742.67"/>
  </r>
  <r>
    <d v="2020-04-28T00:00:00"/>
    <d v="2020-04-30T00:00:00"/>
    <n v="2020"/>
    <x v="4"/>
    <x v="2"/>
    <n v="5419.95"/>
    <n v="3696.05"/>
    <n v="16"/>
    <n v="2.54"/>
    <n v="1723.8999999999996"/>
  </r>
  <r>
    <d v="2020-04-29T00:00:00"/>
    <d v="2020-04-30T00:00:00"/>
    <n v="2020"/>
    <x v="3"/>
    <x v="3"/>
    <n v="3311.77"/>
    <n v="3396.55"/>
    <n v="79"/>
    <n v="4.17"/>
    <n v="-84.7800000000002"/>
  </r>
  <r>
    <d v="2020-04-30T00:00:00"/>
    <d v="2020-04-30T00:00:00"/>
    <n v="2020"/>
    <x v="3"/>
    <x v="2"/>
    <n v="8668.6299999999992"/>
    <n v="3120.34"/>
    <n v="24"/>
    <n v="3.38"/>
    <n v="5548.2899999999991"/>
  </r>
  <r>
    <d v="2020-05-01T00:00:00"/>
    <d v="2020-05-31T00:00:00"/>
    <n v="2020"/>
    <x v="0"/>
    <x v="3"/>
    <n v="5193.83"/>
    <n v="3291.97"/>
    <n v="91"/>
    <n v="1.41"/>
    <n v="1901.8600000000001"/>
  </r>
  <r>
    <d v="2020-05-02T00:00:00"/>
    <d v="2020-05-31T00:00:00"/>
    <n v="2020"/>
    <x v="1"/>
    <x v="2"/>
    <n v="5164.09"/>
    <n v="4922.7299999999996"/>
    <n v="41"/>
    <n v="4.3899999999999997"/>
    <n v="241.36000000000058"/>
  </r>
  <r>
    <d v="2020-05-03T00:00:00"/>
    <d v="2020-05-31T00:00:00"/>
    <n v="2020"/>
    <x v="2"/>
    <x v="1"/>
    <n v="6088.65"/>
    <n v="2953.9"/>
    <n v="84"/>
    <n v="3.12"/>
    <n v="3134.7499999999995"/>
  </r>
  <r>
    <d v="2020-05-04T00:00:00"/>
    <d v="2020-05-31T00:00:00"/>
    <n v="2020"/>
    <x v="4"/>
    <x v="0"/>
    <n v="5721.51"/>
    <n v="3160.88"/>
    <n v="29"/>
    <n v="4.37"/>
    <n v="2560.63"/>
  </r>
  <r>
    <d v="2020-05-05T00:00:00"/>
    <d v="2020-05-31T00:00:00"/>
    <n v="2020"/>
    <x v="0"/>
    <x v="2"/>
    <n v="5335.83"/>
    <n v="3840.52"/>
    <n v="97"/>
    <n v="3.32"/>
    <n v="1495.31"/>
  </r>
  <r>
    <d v="2020-05-06T00:00:00"/>
    <d v="2020-05-31T00:00:00"/>
    <n v="2020"/>
    <x v="1"/>
    <x v="3"/>
    <n v="3814.29"/>
    <n v="3884.42"/>
    <n v="24"/>
    <n v="3.24"/>
    <n v="-70.130000000000109"/>
  </r>
  <r>
    <d v="2020-05-07T00:00:00"/>
    <d v="2020-05-31T00:00:00"/>
    <n v="2020"/>
    <x v="0"/>
    <x v="1"/>
    <n v="5707.2"/>
    <n v="3949.62"/>
    <n v="57"/>
    <n v="1.42"/>
    <n v="1757.58"/>
  </r>
  <r>
    <d v="2020-05-08T00:00:00"/>
    <d v="2020-05-31T00:00:00"/>
    <n v="2020"/>
    <x v="1"/>
    <x v="2"/>
    <n v="7823.04"/>
    <n v="3510.98"/>
    <n v="80"/>
    <n v="1.67"/>
    <n v="4312.0599999999995"/>
  </r>
  <r>
    <d v="2020-05-09T00:00:00"/>
    <d v="2020-05-31T00:00:00"/>
    <n v="2020"/>
    <x v="1"/>
    <x v="2"/>
    <n v="7018.13"/>
    <n v="2085.6"/>
    <n v="30"/>
    <n v="4.8899999999999997"/>
    <n v="4932.5300000000007"/>
  </r>
  <r>
    <d v="2020-05-10T00:00:00"/>
    <d v="2020-05-31T00:00:00"/>
    <n v="2020"/>
    <x v="2"/>
    <x v="1"/>
    <n v="7389.78"/>
    <n v="4306.75"/>
    <n v="51"/>
    <n v="1.91"/>
    <n v="3083.0299999999997"/>
  </r>
  <r>
    <d v="2020-05-11T00:00:00"/>
    <d v="2020-05-31T00:00:00"/>
    <n v="2020"/>
    <x v="1"/>
    <x v="2"/>
    <n v="4233.18"/>
    <n v="2082.92"/>
    <n v="35"/>
    <n v="4.91"/>
    <n v="2150.2600000000002"/>
  </r>
  <r>
    <d v="2020-05-12T00:00:00"/>
    <d v="2020-05-31T00:00:00"/>
    <n v="2020"/>
    <x v="0"/>
    <x v="0"/>
    <n v="3515.59"/>
    <n v="3242.11"/>
    <n v="23"/>
    <n v="3.13"/>
    <n v="273.48"/>
  </r>
  <r>
    <d v="2020-05-13T00:00:00"/>
    <d v="2020-05-31T00:00:00"/>
    <n v="2020"/>
    <x v="1"/>
    <x v="2"/>
    <n v="4811.32"/>
    <n v="2396.58"/>
    <n v="66"/>
    <n v="1.54"/>
    <n v="2414.7399999999998"/>
  </r>
  <r>
    <d v="2020-05-14T00:00:00"/>
    <d v="2020-05-31T00:00:00"/>
    <n v="2020"/>
    <x v="2"/>
    <x v="0"/>
    <n v="5083.59"/>
    <n v="2948.69"/>
    <n v="46"/>
    <n v="1.4"/>
    <n v="2134.9"/>
  </r>
  <r>
    <d v="2020-05-15T00:00:00"/>
    <d v="2020-05-31T00:00:00"/>
    <n v="2020"/>
    <x v="2"/>
    <x v="0"/>
    <n v="6641.29"/>
    <n v="3263.01"/>
    <n v="67"/>
    <n v="1.84"/>
    <n v="3378.2799999999997"/>
  </r>
  <r>
    <d v="2020-05-16T00:00:00"/>
    <d v="2020-05-31T00:00:00"/>
    <n v="2020"/>
    <x v="0"/>
    <x v="1"/>
    <n v="2461.3000000000002"/>
    <n v="3257.09"/>
    <n v="30"/>
    <n v="4.7"/>
    <n v="-795.79"/>
  </r>
  <r>
    <d v="2020-05-17T00:00:00"/>
    <d v="2020-05-31T00:00:00"/>
    <n v="2020"/>
    <x v="3"/>
    <x v="2"/>
    <n v="7294.33"/>
    <n v="3337.54"/>
    <n v="91"/>
    <n v="2.66"/>
    <n v="3956.79"/>
  </r>
  <r>
    <d v="2020-05-18T00:00:00"/>
    <d v="2020-05-31T00:00:00"/>
    <n v="2020"/>
    <x v="3"/>
    <x v="1"/>
    <n v="4762.99"/>
    <n v="4290.97"/>
    <n v="78"/>
    <n v="2.58"/>
    <n v="472.01999999999953"/>
  </r>
  <r>
    <d v="2020-05-19T00:00:00"/>
    <d v="2020-05-31T00:00:00"/>
    <n v="2020"/>
    <x v="1"/>
    <x v="2"/>
    <n v="4359.68"/>
    <n v="3362.83"/>
    <n v="12"/>
    <n v="2.25"/>
    <n v="996.85000000000036"/>
  </r>
  <r>
    <d v="2020-05-20T00:00:00"/>
    <d v="2020-05-31T00:00:00"/>
    <n v="2020"/>
    <x v="4"/>
    <x v="2"/>
    <n v="3481.84"/>
    <n v="2804.67"/>
    <n v="96"/>
    <n v="1.59"/>
    <n v="677.17000000000007"/>
  </r>
  <r>
    <d v="2020-05-21T00:00:00"/>
    <d v="2020-05-31T00:00:00"/>
    <n v="2020"/>
    <x v="1"/>
    <x v="3"/>
    <n v="2517.71"/>
    <n v="3771.27"/>
    <n v="99"/>
    <n v="2.95"/>
    <n v="-1253.56"/>
  </r>
  <r>
    <d v="2020-05-22T00:00:00"/>
    <d v="2020-05-31T00:00:00"/>
    <n v="2020"/>
    <x v="0"/>
    <x v="2"/>
    <n v="6234.76"/>
    <n v="3951.58"/>
    <n v="46"/>
    <n v="1.52"/>
    <n v="2283.1800000000003"/>
  </r>
  <r>
    <d v="2020-05-23T00:00:00"/>
    <d v="2020-05-31T00:00:00"/>
    <n v="2020"/>
    <x v="0"/>
    <x v="1"/>
    <n v="5109.9799999999996"/>
    <n v="2017.91"/>
    <n v="97"/>
    <n v="4.34"/>
    <n v="3092.0699999999997"/>
  </r>
  <r>
    <d v="2020-05-24T00:00:00"/>
    <d v="2020-05-31T00:00:00"/>
    <n v="2020"/>
    <x v="0"/>
    <x v="0"/>
    <n v="3065.06"/>
    <n v="3477.92"/>
    <n v="58"/>
    <n v="2.48"/>
    <n v="-412.86000000000013"/>
  </r>
  <r>
    <d v="2020-05-25T00:00:00"/>
    <d v="2020-05-31T00:00:00"/>
    <n v="2020"/>
    <x v="0"/>
    <x v="2"/>
    <n v="3057.38"/>
    <n v="3560.94"/>
    <n v="28"/>
    <n v="2.5"/>
    <n v="-503.55999999999995"/>
  </r>
  <r>
    <d v="2020-05-26T00:00:00"/>
    <d v="2020-05-31T00:00:00"/>
    <n v="2020"/>
    <x v="0"/>
    <x v="3"/>
    <n v="4496.32"/>
    <n v="2761.95"/>
    <n v="98"/>
    <n v="2.9"/>
    <n v="1734.37"/>
  </r>
  <r>
    <d v="2020-05-27T00:00:00"/>
    <d v="2020-05-31T00:00:00"/>
    <n v="2020"/>
    <x v="2"/>
    <x v="1"/>
    <n v="7503.53"/>
    <n v="4100.57"/>
    <n v="94"/>
    <n v="2.78"/>
    <n v="3402.96"/>
  </r>
  <r>
    <d v="2020-05-28T00:00:00"/>
    <d v="2020-05-31T00:00:00"/>
    <n v="2020"/>
    <x v="3"/>
    <x v="2"/>
    <n v="4610.6099999999997"/>
    <n v="2879.96"/>
    <n v="21"/>
    <n v="4.9800000000000004"/>
    <n v="1730.6499999999996"/>
  </r>
  <r>
    <d v="2020-05-29T00:00:00"/>
    <d v="2020-05-31T00:00:00"/>
    <n v="2020"/>
    <x v="0"/>
    <x v="1"/>
    <n v="2745.29"/>
    <n v="3100.46"/>
    <n v="70"/>
    <n v="3.18"/>
    <n v="-355.17000000000007"/>
  </r>
  <r>
    <d v="2020-05-30T00:00:00"/>
    <d v="2020-05-31T00:00:00"/>
    <n v="2020"/>
    <x v="4"/>
    <x v="3"/>
    <n v="4631.3900000000003"/>
    <n v="2861.54"/>
    <n v="50"/>
    <n v="1.35"/>
    <n v="1769.8500000000004"/>
  </r>
  <r>
    <d v="2020-05-31T00:00:00"/>
    <d v="2020-05-31T00:00:00"/>
    <n v="2020"/>
    <x v="4"/>
    <x v="3"/>
    <n v="4590.91"/>
    <n v="3012.46"/>
    <n v="42"/>
    <n v="3.43"/>
    <n v="1578.4499999999998"/>
  </r>
  <r>
    <d v="2020-06-01T00:00:00"/>
    <d v="2020-06-30T00:00:00"/>
    <n v="2020"/>
    <x v="4"/>
    <x v="1"/>
    <n v="954.67"/>
    <n v="2122.98"/>
    <n v="59"/>
    <n v="1.61"/>
    <n v="-1168.31"/>
  </r>
  <r>
    <d v="2020-06-02T00:00:00"/>
    <d v="2020-06-30T00:00:00"/>
    <n v="2020"/>
    <x v="4"/>
    <x v="2"/>
    <n v="4918.5600000000004"/>
    <n v="1847.96"/>
    <n v="77"/>
    <n v="1.1200000000000001"/>
    <n v="3070.6000000000004"/>
  </r>
  <r>
    <d v="2020-06-03T00:00:00"/>
    <d v="2020-06-30T00:00:00"/>
    <n v="2020"/>
    <x v="2"/>
    <x v="0"/>
    <n v="4653.6000000000004"/>
    <n v="4275.6000000000004"/>
    <n v="80"/>
    <n v="4.88"/>
    <n v="378"/>
  </r>
  <r>
    <d v="2020-06-04T00:00:00"/>
    <d v="2020-06-30T00:00:00"/>
    <n v="2020"/>
    <x v="4"/>
    <x v="3"/>
    <n v="6044.31"/>
    <n v="2322.4299999999998"/>
    <n v="95"/>
    <n v="4.09"/>
    <n v="3721.8800000000006"/>
  </r>
  <r>
    <d v="2020-06-05T00:00:00"/>
    <d v="2020-06-30T00:00:00"/>
    <n v="2020"/>
    <x v="0"/>
    <x v="2"/>
    <n v="7773.43"/>
    <n v="2206.89"/>
    <n v="42"/>
    <n v="4.92"/>
    <n v="5566.5400000000009"/>
  </r>
  <r>
    <d v="2020-06-06T00:00:00"/>
    <d v="2020-06-30T00:00:00"/>
    <n v="2020"/>
    <x v="1"/>
    <x v="2"/>
    <n v="6689.85"/>
    <n v="1277.29"/>
    <n v="90"/>
    <n v="2.91"/>
    <n v="5412.56"/>
  </r>
  <r>
    <d v="2020-06-07T00:00:00"/>
    <d v="2020-06-30T00:00:00"/>
    <n v="2020"/>
    <x v="4"/>
    <x v="0"/>
    <n v="4596.67"/>
    <n v="2488.83"/>
    <n v="33"/>
    <n v="3.13"/>
    <n v="2107.84"/>
  </r>
  <r>
    <d v="2020-06-08T00:00:00"/>
    <d v="2020-06-30T00:00:00"/>
    <n v="2020"/>
    <x v="2"/>
    <x v="3"/>
    <n v="3340.21"/>
    <n v="1941.53"/>
    <n v="70"/>
    <n v="1.67"/>
    <n v="1398.68"/>
  </r>
  <r>
    <d v="2020-06-09T00:00:00"/>
    <d v="2020-06-30T00:00:00"/>
    <n v="2020"/>
    <x v="2"/>
    <x v="3"/>
    <n v="8860.0400000000009"/>
    <n v="4313.6099999999997"/>
    <n v="70"/>
    <n v="1.99"/>
    <n v="4546.4300000000012"/>
  </r>
  <r>
    <d v="2020-06-10T00:00:00"/>
    <d v="2020-06-30T00:00:00"/>
    <n v="2020"/>
    <x v="4"/>
    <x v="2"/>
    <n v="5088.83"/>
    <n v="3807.85"/>
    <n v="37"/>
    <n v="4.3499999999999996"/>
    <n v="1280.98"/>
  </r>
  <r>
    <d v="2020-06-11T00:00:00"/>
    <d v="2020-06-30T00:00:00"/>
    <n v="2020"/>
    <x v="1"/>
    <x v="2"/>
    <n v="5020.8900000000003"/>
    <n v="2449.48"/>
    <n v="67"/>
    <n v="2.42"/>
    <n v="2571.4100000000003"/>
  </r>
  <r>
    <d v="2020-06-12T00:00:00"/>
    <d v="2020-06-30T00:00:00"/>
    <n v="2020"/>
    <x v="4"/>
    <x v="0"/>
    <n v="4963.8100000000004"/>
    <n v="4801.95"/>
    <n v="52"/>
    <n v="4.3099999999999996"/>
    <n v="161.86000000000058"/>
  </r>
  <r>
    <d v="2020-06-13T00:00:00"/>
    <d v="2020-06-30T00:00:00"/>
    <n v="2020"/>
    <x v="2"/>
    <x v="0"/>
    <n v="5297.13"/>
    <n v="3785.41"/>
    <n v="50"/>
    <n v="3.84"/>
    <n v="1511.7200000000003"/>
  </r>
  <r>
    <d v="2020-06-14T00:00:00"/>
    <d v="2020-06-30T00:00:00"/>
    <n v="2020"/>
    <x v="3"/>
    <x v="3"/>
    <n v="4783.46"/>
    <n v="2740.13"/>
    <n v="48"/>
    <n v="1.71"/>
    <n v="2043.33"/>
  </r>
  <r>
    <d v="2020-06-15T00:00:00"/>
    <d v="2020-06-30T00:00:00"/>
    <n v="2020"/>
    <x v="0"/>
    <x v="1"/>
    <n v="4139.51"/>
    <n v="1000.48"/>
    <n v="95"/>
    <n v="3.03"/>
    <n v="3139.03"/>
  </r>
  <r>
    <d v="2020-06-16T00:00:00"/>
    <d v="2020-06-30T00:00:00"/>
    <n v="2020"/>
    <x v="2"/>
    <x v="3"/>
    <n v="4179.71"/>
    <n v="4832.75"/>
    <n v="58"/>
    <n v="3.71"/>
    <n v="-653.04"/>
  </r>
  <r>
    <d v="2020-06-17T00:00:00"/>
    <d v="2020-06-30T00:00:00"/>
    <n v="2020"/>
    <x v="4"/>
    <x v="2"/>
    <n v="4950.87"/>
    <n v="1888.34"/>
    <n v="26"/>
    <n v="1.94"/>
    <n v="3062.5299999999997"/>
  </r>
  <r>
    <d v="2020-06-18T00:00:00"/>
    <d v="2020-06-30T00:00:00"/>
    <n v="2020"/>
    <x v="0"/>
    <x v="3"/>
    <n v="4184.8599999999997"/>
    <n v="1683.68"/>
    <n v="79"/>
    <n v="4.32"/>
    <n v="2501.1799999999994"/>
  </r>
  <r>
    <d v="2020-06-19T00:00:00"/>
    <d v="2020-06-30T00:00:00"/>
    <n v="2020"/>
    <x v="4"/>
    <x v="1"/>
    <n v="3930.73"/>
    <n v="3818.06"/>
    <n v="79"/>
    <n v="3.18"/>
    <n v="112.67000000000007"/>
  </r>
  <r>
    <d v="2020-06-20T00:00:00"/>
    <d v="2020-06-30T00:00:00"/>
    <n v="2020"/>
    <x v="4"/>
    <x v="0"/>
    <n v="5159.6499999999996"/>
    <n v="4951.8"/>
    <n v="74"/>
    <n v="1.66"/>
    <n v="207.84999999999945"/>
  </r>
  <r>
    <d v="2020-06-21T00:00:00"/>
    <d v="2020-06-30T00:00:00"/>
    <n v="2020"/>
    <x v="3"/>
    <x v="1"/>
    <n v="4617.53"/>
    <n v="4107.42"/>
    <n v="83"/>
    <n v="3.33"/>
    <n v="510.10999999999967"/>
  </r>
  <r>
    <d v="2020-06-22T00:00:00"/>
    <d v="2020-06-30T00:00:00"/>
    <n v="2020"/>
    <x v="0"/>
    <x v="1"/>
    <n v="7255.99"/>
    <n v="3451.13"/>
    <n v="94"/>
    <n v="5"/>
    <n v="3804.8599999999997"/>
  </r>
  <r>
    <d v="2020-06-23T00:00:00"/>
    <d v="2020-06-30T00:00:00"/>
    <n v="2020"/>
    <x v="0"/>
    <x v="1"/>
    <n v="1023.55"/>
    <n v="3475.8"/>
    <n v="14"/>
    <n v="1.6"/>
    <n v="-2452.25"/>
  </r>
  <r>
    <d v="2020-06-24T00:00:00"/>
    <d v="2020-06-30T00:00:00"/>
    <n v="2020"/>
    <x v="3"/>
    <x v="0"/>
    <n v="6637.26"/>
    <n v="3682.73"/>
    <n v="11"/>
    <n v="4.2699999999999996"/>
    <n v="2954.53"/>
  </r>
  <r>
    <d v="2020-06-25T00:00:00"/>
    <d v="2020-06-30T00:00:00"/>
    <n v="2020"/>
    <x v="2"/>
    <x v="1"/>
    <n v="6869.13"/>
    <n v="3607.14"/>
    <n v="31"/>
    <n v="1.83"/>
    <n v="3261.9900000000002"/>
  </r>
  <r>
    <d v="2020-06-26T00:00:00"/>
    <d v="2020-06-30T00:00:00"/>
    <n v="2020"/>
    <x v="4"/>
    <x v="1"/>
    <n v="1889.91"/>
    <n v="3224.95"/>
    <n v="66"/>
    <n v="4.13"/>
    <n v="-1335.0399999999997"/>
  </r>
  <r>
    <d v="2020-06-27T00:00:00"/>
    <d v="2020-06-30T00:00:00"/>
    <n v="2020"/>
    <x v="1"/>
    <x v="1"/>
    <n v="4485.97"/>
    <n v="3083.36"/>
    <n v="75"/>
    <n v="3.94"/>
    <n v="1402.6100000000001"/>
  </r>
  <r>
    <d v="2020-06-28T00:00:00"/>
    <d v="2020-06-30T00:00:00"/>
    <n v="2020"/>
    <x v="4"/>
    <x v="2"/>
    <n v="4442.84"/>
    <n v="2949.93"/>
    <n v="83"/>
    <n v="2.2000000000000002"/>
    <n v="1492.9100000000003"/>
  </r>
  <r>
    <d v="2020-06-29T00:00:00"/>
    <d v="2020-06-30T00:00:00"/>
    <n v="2020"/>
    <x v="4"/>
    <x v="1"/>
    <n v="2888.73"/>
    <n v="2396.83"/>
    <n v="25"/>
    <n v="2.2999999999999998"/>
    <n v="491.90000000000009"/>
  </r>
  <r>
    <d v="2020-06-30T00:00:00"/>
    <d v="2020-06-30T00:00:00"/>
    <n v="2020"/>
    <x v="2"/>
    <x v="0"/>
    <n v="3833.27"/>
    <n v="2775.46"/>
    <n v="60"/>
    <n v="4.17"/>
    <n v="1057.81"/>
  </r>
  <r>
    <d v="2020-07-01T00:00:00"/>
    <d v="2020-07-31T00:00:00"/>
    <n v="2020"/>
    <x v="4"/>
    <x v="1"/>
    <n v="3334.14"/>
    <n v="1645.63"/>
    <n v="48"/>
    <n v="2.85"/>
    <n v="1688.5099999999998"/>
  </r>
  <r>
    <d v="2020-07-02T00:00:00"/>
    <d v="2020-07-31T00:00:00"/>
    <n v="2020"/>
    <x v="3"/>
    <x v="1"/>
    <n v="7628.41"/>
    <n v="2921.33"/>
    <n v="95"/>
    <n v="3.92"/>
    <n v="4707.08"/>
  </r>
  <r>
    <d v="2020-07-03T00:00:00"/>
    <d v="2020-07-31T00:00:00"/>
    <n v="2020"/>
    <x v="3"/>
    <x v="0"/>
    <n v="6403.52"/>
    <n v="2209.13"/>
    <n v="85"/>
    <n v="1.59"/>
    <n v="4194.3900000000003"/>
  </r>
  <r>
    <d v="2020-07-04T00:00:00"/>
    <d v="2020-07-31T00:00:00"/>
    <n v="2020"/>
    <x v="0"/>
    <x v="1"/>
    <n v="6907.33"/>
    <n v="2117.13"/>
    <n v="97"/>
    <n v="4.41"/>
    <n v="4790.2"/>
  </r>
  <r>
    <d v="2020-07-05T00:00:00"/>
    <d v="2020-07-31T00:00:00"/>
    <n v="2020"/>
    <x v="1"/>
    <x v="0"/>
    <n v="6082.51"/>
    <n v="3143.92"/>
    <n v="49"/>
    <n v="3.84"/>
    <n v="2938.59"/>
  </r>
  <r>
    <d v="2020-07-06T00:00:00"/>
    <d v="2020-07-31T00:00:00"/>
    <n v="2020"/>
    <x v="4"/>
    <x v="1"/>
    <n v="3306.42"/>
    <n v="4113.6000000000004"/>
    <n v="47"/>
    <n v="4.63"/>
    <n v="-807.18000000000029"/>
  </r>
  <r>
    <d v="2020-07-07T00:00:00"/>
    <d v="2020-07-31T00:00:00"/>
    <n v="2020"/>
    <x v="4"/>
    <x v="0"/>
    <n v="4213.22"/>
    <n v="3734.65"/>
    <n v="69"/>
    <n v="1.53"/>
    <n v="478.57000000000016"/>
  </r>
  <r>
    <d v="2020-07-08T00:00:00"/>
    <d v="2020-07-31T00:00:00"/>
    <n v="2020"/>
    <x v="2"/>
    <x v="1"/>
    <n v="5734.06"/>
    <n v="1743.6"/>
    <n v="68"/>
    <n v="3.37"/>
    <n v="3990.4600000000005"/>
  </r>
  <r>
    <d v="2020-07-09T00:00:00"/>
    <d v="2020-07-31T00:00:00"/>
    <n v="2020"/>
    <x v="3"/>
    <x v="1"/>
    <n v="3166.81"/>
    <n v="2208.3000000000002"/>
    <n v="19"/>
    <n v="3.4"/>
    <n v="958.50999999999976"/>
  </r>
  <r>
    <d v="2020-07-10T00:00:00"/>
    <d v="2020-07-31T00:00:00"/>
    <n v="2020"/>
    <x v="1"/>
    <x v="2"/>
    <n v="6069.5"/>
    <n v="3752.62"/>
    <n v="73"/>
    <n v="2.41"/>
    <n v="2316.88"/>
  </r>
  <r>
    <d v="2020-07-11T00:00:00"/>
    <d v="2020-07-31T00:00:00"/>
    <n v="2020"/>
    <x v="0"/>
    <x v="2"/>
    <n v="4639.51"/>
    <n v="2214.0100000000002"/>
    <n v="72"/>
    <n v="2.83"/>
    <n v="2425.5"/>
  </r>
  <r>
    <d v="2020-07-12T00:00:00"/>
    <d v="2020-07-31T00:00:00"/>
    <n v="2020"/>
    <x v="3"/>
    <x v="1"/>
    <n v="4437.7700000000004"/>
    <n v="2820.29"/>
    <n v="58"/>
    <n v="1.1499999999999999"/>
    <n v="1617.4800000000005"/>
  </r>
  <r>
    <d v="2020-07-13T00:00:00"/>
    <d v="2020-07-31T00:00:00"/>
    <n v="2020"/>
    <x v="0"/>
    <x v="1"/>
    <n v="6066.44"/>
    <n v="3440.04"/>
    <n v="73"/>
    <n v="3.98"/>
    <n v="2626.3999999999996"/>
  </r>
  <r>
    <d v="2020-07-14T00:00:00"/>
    <d v="2020-07-31T00:00:00"/>
    <n v="2020"/>
    <x v="2"/>
    <x v="3"/>
    <n v="5666.39"/>
    <n v="2225.3200000000002"/>
    <n v="41"/>
    <n v="3.2"/>
    <n v="3441.07"/>
  </r>
  <r>
    <d v="2020-07-15T00:00:00"/>
    <d v="2020-07-31T00:00:00"/>
    <n v="2020"/>
    <x v="2"/>
    <x v="0"/>
    <n v="4458.55"/>
    <n v="3084.3"/>
    <n v="16"/>
    <n v="1.23"/>
    <n v="1374.25"/>
  </r>
  <r>
    <d v="2020-07-16T00:00:00"/>
    <d v="2020-07-31T00:00:00"/>
    <n v="2020"/>
    <x v="4"/>
    <x v="3"/>
    <n v="6738.99"/>
    <n v="1932.78"/>
    <n v="30"/>
    <n v="3.72"/>
    <n v="4806.21"/>
  </r>
  <r>
    <d v="2020-07-17T00:00:00"/>
    <d v="2020-07-31T00:00:00"/>
    <n v="2020"/>
    <x v="1"/>
    <x v="2"/>
    <n v="3378.41"/>
    <n v="2518.91"/>
    <n v="29"/>
    <n v="2.87"/>
    <n v="859.5"/>
  </r>
  <r>
    <d v="2020-07-18T00:00:00"/>
    <d v="2020-07-31T00:00:00"/>
    <n v="2020"/>
    <x v="0"/>
    <x v="2"/>
    <n v="5923.9"/>
    <n v="3255.83"/>
    <n v="35"/>
    <n v="1.1399999999999999"/>
    <n v="2668.0699999999997"/>
  </r>
  <r>
    <d v="2020-07-19T00:00:00"/>
    <d v="2020-07-31T00:00:00"/>
    <n v="2020"/>
    <x v="3"/>
    <x v="2"/>
    <n v="5889.65"/>
    <n v="1725.61"/>
    <n v="77"/>
    <n v="4.88"/>
    <n v="4164.04"/>
  </r>
  <r>
    <d v="2020-07-20T00:00:00"/>
    <d v="2020-07-31T00:00:00"/>
    <n v="2020"/>
    <x v="2"/>
    <x v="2"/>
    <n v="4535.68"/>
    <n v="3352.38"/>
    <n v="95"/>
    <n v="4.8"/>
    <n v="1183.3000000000002"/>
  </r>
  <r>
    <d v="2020-07-21T00:00:00"/>
    <d v="2020-07-31T00:00:00"/>
    <n v="2020"/>
    <x v="4"/>
    <x v="1"/>
    <n v="5489.2"/>
    <n v="2984.29"/>
    <n v="24"/>
    <n v="3.05"/>
    <n v="2504.91"/>
  </r>
  <r>
    <d v="2020-07-22T00:00:00"/>
    <d v="2020-07-31T00:00:00"/>
    <n v="2020"/>
    <x v="4"/>
    <x v="2"/>
    <n v="3123.33"/>
    <n v="3441.99"/>
    <n v="94"/>
    <n v="1.37"/>
    <n v="-318.65999999999985"/>
  </r>
  <r>
    <d v="2020-07-23T00:00:00"/>
    <d v="2020-07-31T00:00:00"/>
    <n v="2020"/>
    <x v="0"/>
    <x v="1"/>
    <n v="6386.04"/>
    <n v="3179.13"/>
    <n v="88"/>
    <n v="4.0199999999999996"/>
    <n v="3206.91"/>
  </r>
  <r>
    <d v="2020-07-24T00:00:00"/>
    <d v="2020-07-31T00:00:00"/>
    <n v="2020"/>
    <x v="2"/>
    <x v="1"/>
    <n v="4722.6499999999996"/>
    <n v="4091.31"/>
    <n v="95"/>
    <n v="2.97"/>
    <n v="631.33999999999969"/>
  </r>
  <r>
    <d v="2020-07-25T00:00:00"/>
    <d v="2020-07-31T00:00:00"/>
    <n v="2020"/>
    <x v="1"/>
    <x v="2"/>
    <n v="4215.92"/>
    <n v="3100.18"/>
    <n v="23"/>
    <n v="2.21"/>
    <n v="1115.7400000000002"/>
  </r>
  <r>
    <d v="2020-07-26T00:00:00"/>
    <d v="2020-07-31T00:00:00"/>
    <n v="2020"/>
    <x v="2"/>
    <x v="2"/>
    <n v="6573.51"/>
    <n v="2656.48"/>
    <n v="36"/>
    <n v="2.97"/>
    <n v="3917.03"/>
  </r>
  <r>
    <d v="2020-07-27T00:00:00"/>
    <d v="2020-07-31T00:00:00"/>
    <n v="2020"/>
    <x v="0"/>
    <x v="0"/>
    <n v="3943.48"/>
    <n v="3097.84"/>
    <n v="49"/>
    <n v="3.09"/>
    <n v="845.63999999999987"/>
  </r>
  <r>
    <d v="2020-07-28T00:00:00"/>
    <d v="2020-07-31T00:00:00"/>
    <n v="2020"/>
    <x v="0"/>
    <x v="3"/>
    <n v="2887.31"/>
    <n v="3434.64"/>
    <n v="67"/>
    <n v="3.25"/>
    <n v="-547.32999999999993"/>
  </r>
  <r>
    <d v="2020-07-29T00:00:00"/>
    <d v="2020-07-31T00:00:00"/>
    <n v="2020"/>
    <x v="2"/>
    <x v="2"/>
    <n v="2665.06"/>
    <n v="3039.09"/>
    <n v="37"/>
    <n v="2.76"/>
    <n v="-374.0300000000002"/>
  </r>
  <r>
    <d v="2020-07-30T00:00:00"/>
    <d v="2020-07-31T00:00:00"/>
    <n v="2020"/>
    <x v="0"/>
    <x v="0"/>
    <n v="5909.01"/>
    <n v="3032.47"/>
    <n v="35"/>
    <n v="3.42"/>
    <n v="2876.5400000000004"/>
  </r>
  <r>
    <d v="2020-07-31T00:00:00"/>
    <d v="2020-07-31T00:00:00"/>
    <n v="2020"/>
    <x v="2"/>
    <x v="0"/>
    <n v="3079.36"/>
    <n v="2438.41"/>
    <n v="72"/>
    <n v="4.67"/>
    <n v="640.95000000000027"/>
  </r>
  <r>
    <d v="2020-08-01T00:00:00"/>
    <d v="2020-08-31T00:00:00"/>
    <n v="2020"/>
    <x v="3"/>
    <x v="3"/>
    <n v="7632.19"/>
    <n v="2469.6799999999998"/>
    <n v="75"/>
    <n v="2.4500000000000002"/>
    <n v="5162.51"/>
  </r>
  <r>
    <d v="2020-08-02T00:00:00"/>
    <d v="2020-08-31T00:00:00"/>
    <n v="2020"/>
    <x v="2"/>
    <x v="1"/>
    <n v="1877.11"/>
    <n v="1877.92"/>
    <n v="34"/>
    <n v="3.9"/>
    <n v="-0.8100000000001728"/>
  </r>
  <r>
    <d v="2020-08-03T00:00:00"/>
    <d v="2020-08-31T00:00:00"/>
    <n v="2020"/>
    <x v="2"/>
    <x v="2"/>
    <n v="7544.68"/>
    <n v="4399.66"/>
    <n v="12"/>
    <n v="4.58"/>
    <n v="3145.0200000000004"/>
  </r>
  <r>
    <d v="2020-08-04T00:00:00"/>
    <d v="2020-08-31T00:00:00"/>
    <n v="2020"/>
    <x v="0"/>
    <x v="3"/>
    <n v="5316.53"/>
    <n v="2004.91"/>
    <n v="81"/>
    <n v="2.82"/>
    <n v="3311.62"/>
  </r>
  <r>
    <d v="2020-08-05T00:00:00"/>
    <d v="2020-08-31T00:00:00"/>
    <n v="2020"/>
    <x v="0"/>
    <x v="2"/>
    <n v="4854.93"/>
    <n v="2445.6799999999998"/>
    <n v="53"/>
    <n v="2.77"/>
    <n v="2409.2500000000005"/>
  </r>
  <r>
    <d v="2020-08-06T00:00:00"/>
    <d v="2020-08-31T00:00:00"/>
    <n v="2020"/>
    <x v="4"/>
    <x v="0"/>
    <n v="4182.62"/>
    <n v="2425.27"/>
    <n v="51"/>
    <n v="3.41"/>
    <n v="1757.35"/>
  </r>
  <r>
    <d v="2020-08-07T00:00:00"/>
    <d v="2020-08-31T00:00:00"/>
    <n v="2020"/>
    <x v="4"/>
    <x v="0"/>
    <n v="5598.7"/>
    <n v="3715.94"/>
    <n v="15"/>
    <n v="3.37"/>
    <n v="1882.7599999999998"/>
  </r>
  <r>
    <d v="2020-08-08T00:00:00"/>
    <d v="2020-08-31T00:00:00"/>
    <n v="2020"/>
    <x v="3"/>
    <x v="1"/>
    <n v="4943.55"/>
    <n v="2764.04"/>
    <n v="48"/>
    <n v="4.2300000000000004"/>
    <n v="2179.5100000000002"/>
  </r>
  <r>
    <d v="2020-08-09T00:00:00"/>
    <d v="2020-08-31T00:00:00"/>
    <n v="2020"/>
    <x v="4"/>
    <x v="0"/>
    <n v="6654.95"/>
    <n v="3998.19"/>
    <n v="61"/>
    <n v="2.91"/>
    <n v="2656.7599999999998"/>
  </r>
  <r>
    <d v="2020-08-10T00:00:00"/>
    <d v="2020-08-31T00:00:00"/>
    <n v="2020"/>
    <x v="2"/>
    <x v="0"/>
    <n v="5171.34"/>
    <n v="2461.21"/>
    <n v="32"/>
    <n v="4.9800000000000004"/>
    <n v="2710.13"/>
  </r>
  <r>
    <d v="2020-08-11T00:00:00"/>
    <d v="2020-08-31T00:00:00"/>
    <n v="2020"/>
    <x v="0"/>
    <x v="3"/>
    <n v="5225.45"/>
    <n v="3223.2"/>
    <n v="98"/>
    <n v="1.24"/>
    <n v="2002.25"/>
  </r>
  <r>
    <d v="2020-08-12T00:00:00"/>
    <d v="2020-08-31T00:00:00"/>
    <n v="2020"/>
    <x v="4"/>
    <x v="2"/>
    <n v="4454.58"/>
    <n v="2331.7199999999998"/>
    <n v="59"/>
    <n v="1.01"/>
    <n v="2122.86"/>
  </r>
  <r>
    <d v="2020-08-13T00:00:00"/>
    <d v="2020-08-31T00:00:00"/>
    <n v="2020"/>
    <x v="4"/>
    <x v="2"/>
    <n v="4914.58"/>
    <n v="4716.12"/>
    <n v="52"/>
    <n v="3.56"/>
    <n v="198.46000000000004"/>
  </r>
  <r>
    <d v="2020-08-14T00:00:00"/>
    <d v="2020-08-31T00:00:00"/>
    <n v="2020"/>
    <x v="3"/>
    <x v="3"/>
    <n v="5461.7"/>
    <n v="2049.92"/>
    <n v="28"/>
    <n v="2.19"/>
    <n v="3411.7799999999997"/>
  </r>
  <r>
    <d v="2020-08-15T00:00:00"/>
    <d v="2020-08-31T00:00:00"/>
    <n v="2020"/>
    <x v="3"/>
    <x v="1"/>
    <n v="2434.75"/>
    <n v="3247.86"/>
    <n v="78"/>
    <n v="1.96"/>
    <n v="-813.11000000000013"/>
  </r>
  <r>
    <d v="2020-08-16T00:00:00"/>
    <d v="2020-08-31T00:00:00"/>
    <n v="2020"/>
    <x v="2"/>
    <x v="2"/>
    <n v="2977.72"/>
    <n v="3507.02"/>
    <n v="60"/>
    <n v="2.25"/>
    <n v="-529.30000000000018"/>
  </r>
  <r>
    <d v="2020-08-17T00:00:00"/>
    <d v="2020-08-31T00:00:00"/>
    <n v="2020"/>
    <x v="0"/>
    <x v="0"/>
    <n v="6114.9"/>
    <n v="3331.04"/>
    <n v="20"/>
    <n v="2.02"/>
    <n v="2783.8599999999997"/>
  </r>
  <r>
    <d v="2020-08-18T00:00:00"/>
    <d v="2020-08-31T00:00:00"/>
    <n v="2020"/>
    <x v="3"/>
    <x v="2"/>
    <n v="5256.3"/>
    <n v="2851.77"/>
    <n v="21"/>
    <n v="1.1200000000000001"/>
    <n v="2404.5300000000002"/>
  </r>
  <r>
    <d v="2020-08-19T00:00:00"/>
    <d v="2020-08-31T00:00:00"/>
    <n v="2020"/>
    <x v="4"/>
    <x v="0"/>
    <n v="4724.0200000000004"/>
    <n v="2896.14"/>
    <n v="83"/>
    <n v="4.8899999999999997"/>
    <n v="1827.8800000000006"/>
  </r>
  <r>
    <d v="2020-08-20T00:00:00"/>
    <d v="2020-08-31T00:00:00"/>
    <n v="2020"/>
    <x v="0"/>
    <x v="1"/>
    <n v="5027.6499999999996"/>
    <n v="3035.05"/>
    <n v="17"/>
    <n v="1.88"/>
    <n v="1992.5999999999995"/>
  </r>
  <r>
    <d v="2020-08-21T00:00:00"/>
    <d v="2020-08-31T00:00:00"/>
    <n v="2020"/>
    <x v="0"/>
    <x v="3"/>
    <n v="5521.37"/>
    <n v="2882.4"/>
    <n v="33"/>
    <n v="3.94"/>
    <n v="2638.97"/>
  </r>
  <r>
    <d v="2020-08-22T00:00:00"/>
    <d v="2020-08-31T00:00:00"/>
    <n v="2020"/>
    <x v="4"/>
    <x v="2"/>
    <n v="4190.3599999999997"/>
    <n v="3771.1"/>
    <n v="50"/>
    <n v="4.05"/>
    <n v="419.25999999999976"/>
  </r>
  <r>
    <d v="2020-08-23T00:00:00"/>
    <d v="2020-08-31T00:00:00"/>
    <n v="2020"/>
    <x v="3"/>
    <x v="3"/>
    <n v="3832.54"/>
    <n v="4768.42"/>
    <n v="45"/>
    <n v="4.72"/>
    <n v="-935.88000000000011"/>
  </r>
  <r>
    <d v="2020-08-24T00:00:00"/>
    <d v="2020-08-31T00:00:00"/>
    <n v="2020"/>
    <x v="4"/>
    <x v="2"/>
    <n v="5293.77"/>
    <n v="2554.0100000000002"/>
    <n v="94"/>
    <n v="1.1200000000000001"/>
    <n v="2739.76"/>
  </r>
  <r>
    <d v="2020-08-25T00:00:00"/>
    <d v="2020-08-31T00:00:00"/>
    <n v="2020"/>
    <x v="0"/>
    <x v="0"/>
    <n v="3532.44"/>
    <n v="1904.16"/>
    <n v="81"/>
    <n v="4.49"/>
    <n v="1628.28"/>
  </r>
  <r>
    <d v="2020-08-26T00:00:00"/>
    <d v="2020-08-31T00:00:00"/>
    <n v="2020"/>
    <x v="1"/>
    <x v="3"/>
    <n v="5612.38"/>
    <n v="2929.37"/>
    <n v="64"/>
    <n v="3.11"/>
    <n v="2683.01"/>
  </r>
  <r>
    <d v="2020-08-27T00:00:00"/>
    <d v="2020-08-31T00:00:00"/>
    <n v="2020"/>
    <x v="1"/>
    <x v="2"/>
    <n v="2446.12"/>
    <n v="5063.7700000000004"/>
    <n v="18"/>
    <n v="3.53"/>
    <n v="-2617.6500000000005"/>
  </r>
  <r>
    <d v="2020-08-28T00:00:00"/>
    <d v="2020-08-31T00:00:00"/>
    <n v="2020"/>
    <x v="2"/>
    <x v="0"/>
    <n v="6543.73"/>
    <n v="2357.06"/>
    <n v="56"/>
    <n v="3.58"/>
    <n v="4186.67"/>
  </r>
  <r>
    <d v="2020-08-29T00:00:00"/>
    <d v="2020-08-31T00:00:00"/>
    <n v="2020"/>
    <x v="4"/>
    <x v="3"/>
    <n v="5708.9"/>
    <n v="4311.29"/>
    <n v="24"/>
    <n v="4.28"/>
    <n v="1397.6099999999997"/>
  </r>
  <r>
    <d v="2020-08-30T00:00:00"/>
    <d v="2020-08-31T00:00:00"/>
    <n v="2020"/>
    <x v="4"/>
    <x v="3"/>
    <n v="5384.04"/>
    <n v="4342.16"/>
    <n v="57"/>
    <n v="2.33"/>
    <n v="1041.8800000000001"/>
  </r>
  <r>
    <d v="2020-08-31T00:00:00"/>
    <d v="2020-08-31T00:00:00"/>
    <n v="2020"/>
    <x v="2"/>
    <x v="2"/>
    <n v="6474.04"/>
    <n v="2557.13"/>
    <n v="91"/>
    <n v="3.93"/>
    <n v="3916.91"/>
  </r>
  <r>
    <d v="2020-09-01T00:00:00"/>
    <d v="2020-09-30T00:00:00"/>
    <n v="2020"/>
    <x v="2"/>
    <x v="2"/>
    <n v="7498.21"/>
    <n v="3455.19"/>
    <n v="51"/>
    <n v="3.11"/>
    <n v="4043.02"/>
  </r>
  <r>
    <d v="2020-09-02T00:00:00"/>
    <d v="2020-09-30T00:00:00"/>
    <n v="2020"/>
    <x v="2"/>
    <x v="2"/>
    <n v="6521.56"/>
    <n v="4302.72"/>
    <n v="69"/>
    <n v="4.17"/>
    <n v="2218.84"/>
  </r>
  <r>
    <d v="2020-09-03T00:00:00"/>
    <d v="2020-09-30T00:00:00"/>
    <n v="2020"/>
    <x v="0"/>
    <x v="0"/>
    <n v="2238.69"/>
    <n v="2696.7"/>
    <n v="93"/>
    <n v="4.96"/>
    <n v="-458.00999999999976"/>
  </r>
  <r>
    <d v="2020-09-04T00:00:00"/>
    <d v="2020-09-30T00:00:00"/>
    <n v="2020"/>
    <x v="4"/>
    <x v="2"/>
    <n v="3080.63"/>
    <n v="2837.14"/>
    <n v="79"/>
    <n v="1.8"/>
    <n v="243.49000000000024"/>
  </r>
  <r>
    <d v="2020-09-05T00:00:00"/>
    <d v="2020-09-30T00:00:00"/>
    <n v="2020"/>
    <x v="0"/>
    <x v="3"/>
    <n v="4062.77"/>
    <n v="2534.66"/>
    <n v="21"/>
    <n v="4.9800000000000004"/>
    <n v="1528.1100000000001"/>
  </r>
  <r>
    <d v="2020-09-06T00:00:00"/>
    <d v="2020-09-30T00:00:00"/>
    <n v="2020"/>
    <x v="2"/>
    <x v="3"/>
    <n v="5039.1400000000003"/>
    <n v="2188.19"/>
    <n v="11"/>
    <n v="1.36"/>
    <n v="2850.9500000000003"/>
  </r>
  <r>
    <d v="2020-09-07T00:00:00"/>
    <d v="2020-09-30T00:00:00"/>
    <n v="2020"/>
    <x v="4"/>
    <x v="2"/>
    <n v="5776.49"/>
    <n v="2480.58"/>
    <n v="16"/>
    <n v="1.01"/>
    <n v="3295.91"/>
  </r>
  <r>
    <d v="2020-09-08T00:00:00"/>
    <d v="2020-09-30T00:00:00"/>
    <n v="2020"/>
    <x v="0"/>
    <x v="2"/>
    <n v="3911.38"/>
    <n v="2020.85"/>
    <n v="89"/>
    <n v="1.18"/>
    <n v="1890.5300000000002"/>
  </r>
  <r>
    <d v="2020-09-09T00:00:00"/>
    <d v="2020-09-30T00:00:00"/>
    <n v="2020"/>
    <x v="0"/>
    <x v="1"/>
    <n v="5280.15"/>
    <n v="3027.27"/>
    <n v="12"/>
    <n v="2.37"/>
    <n v="2252.8799999999997"/>
  </r>
  <r>
    <d v="2020-09-10T00:00:00"/>
    <d v="2020-09-30T00:00:00"/>
    <n v="2020"/>
    <x v="2"/>
    <x v="3"/>
    <n v="3866.93"/>
    <n v="2384.02"/>
    <n v="12"/>
    <n v="3.53"/>
    <n v="1482.9099999999999"/>
  </r>
  <r>
    <d v="2020-09-11T00:00:00"/>
    <d v="2020-09-30T00:00:00"/>
    <n v="2020"/>
    <x v="4"/>
    <x v="0"/>
    <n v="4082.72"/>
    <n v="3187.03"/>
    <n v="36"/>
    <n v="1.28"/>
    <n v="895.6899999999996"/>
  </r>
  <r>
    <d v="2020-09-12T00:00:00"/>
    <d v="2020-09-30T00:00:00"/>
    <n v="2020"/>
    <x v="2"/>
    <x v="1"/>
    <n v="2890.01"/>
    <n v="1755.28"/>
    <n v="49"/>
    <n v="1.02"/>
    <n v="1134.7300000000002"/>
  </r>
  <r>
    <d v="2020-09-13T00:00:00"/>
    <d v="2020-09-30T00:00:00"/>
    <n v="2020"/>
    <x v="4"/>
    <x v="2"/>
    <n v="3615.15"/>
    <n v="3264.7"/>
    <n v="42"/>
    <n v="4.75"/>
    <n v="350.45000000000027"/>
  </r>
  <r>
    <d v="2020-09-14T00:00:00"/>
    <d v="2020-09-30T00:00:00"/>
    <n v="2020"/>
    <x v="1"/>
    <x v="2"/>
    <n v="2972.47"/>
    <n v="3666.82"/>
    <n v="10"/>
    <n v="4.29"/>
    <n v="-694.35000000000036"/>
  </r>
  <r>
    <d v="2020-09-15T00:00:00"/>
    <d v="2020-09-30T00:00:00"/>
    <n v="2020"/>
    <x v="3"/>
    <x v="3"/>
    <n v="3536.19"/>
    <n v="1405.01"/>
    <n v="17"/>
    <n v="4.24"/>
    <n v="2131.1800000000003"/>
  </r>
  <r>
    <d v="2020-09-16T00:00:00"/>
    <d v="2020-09-30T00:00:00"/>
    <n v="2020"/>
    <x v="3"/>
    <x v="2"/>
    <n v="6580.46"/>
    <n v="3299.25"/>
    <n v="41"/>
    <n v="4.54"/>
    <n v="3281.21"/>
  </r>
  <r>
    <d v="2020-09-17T00:00:00"/>
    <d v="2020-09-30T00:00:00"/>
    <n v="2020"/>
    <x v="3"/>
    <x v="0"/>
    <n v="3575.9"/>
    <n v="3982.14"/>
    <n v="57"/>
    <n v="3.8"/>
    <n v="-406.23999999999978"/>
  </r>
  <r>
    <d v="2020-09-18T00:00:00"/>
    <d v="2020-09-30T00:00:00"/>
    <n v="2020"/>
    <x v="2"/>
    <x v="3"/>
    <n v="8948.57"/>
    <n v="2032.29"/>
    <n v="13"/>
    <n v="1.42"/>
    <n v="6916.28"/>
  </r>
  <r>
    <d v="2020-09-19T00:00:00"/>
    <d v="2020-09-30T00:00:00"/>
    <n v="2020"/>
    <x v="1"/>
    <x v="2"/>
    <n v="5739.98"/>
    <n v="4338.0600000000004"/>
    <n v="79"/>
    <n v="2.6"/>
    <n v="1401.9199999999992"/>
  </r>
  <r>
    <d v="2020-09-20T00:00:00"/>
    <d v="2020-09-30T00:00:00"/>
    <n v="2020"/>
    <x v="4"/>
    <x v="3"/>
    <n v="5277.25"/>
    <n v="3335.22"/>
    <n v="28"/>
    <n v="3.89"/>
    <n v="1942.0300000000002"/>
  </r>
  <r>
    <d v="2020-09-21T00:00:00"/>
    <d v="2020-09-30T00:00:00"/>
    <n v="2020"/>
    <x v="0"/>
    <x v="2"/>
    <n v="3712.46"/>
    <n v="2435.9899999999998"/>
    <n v="41"/>
    <n v="2.12"/>
    <n v="1276.4700000000003"/>
  </r>
  <r>
    <d v="2020-09-22T00:00:00"/>
    <d v="2020-09-30T00:00:00"/>
    <n v="2020"/>
    <x v="4"/>
    <x v="2"/>
    <n v="6050.46"/>
    <n v="2955.38"/>
    <n v="18"/>
    <n v="3.75"/>
    <n v="3095.08"/>
  </r>
  <r>
    <d v="2020-09-23T00:00:00"/>
    <d v="2020-09-30T00:00:00"/>
    <n v="2020"/>
    <x v="0"/>
    <x v="2"/>
    <n v="4136.54"/>
    <n v="3446.66"/>
    <n v="21"/>
    <n v="1.1000000000000001"/>
    <n v="689.88000000000011"/>
  </r>
  <r>
    <d v="2020-09-24T00:00:00"/>
    <d v="2020-09-30T00:00:00"/>
    <n v="2020"/>
    <x v="4"/>
    <x v="0"/>
    <n v="5183.01"/>
    <n v="3060.8"/>
    <n v="20"/>
    <n v="2.2200000000000002"/>
    <n v="2122.21"/>
  </r>
  <r>
    <d v="2020-09-25T00:00:00"/>
    <d v="2020-09-30T00:00:00"/>
    <n v="2020"/>
    <x v="1"/>
    <x v="0"/>
    <n v="8840.1299999999992"/>
    <n v="3431"/>
    <n v="55"/>
    <n v="3.2"/>
    <n v="5409.1299999999992"/>
  </r>
  <r>
    <d v="2020-09-26T00:00:00"/>
    <d v="2020-09-30T00:00:00"/>
    <n v="2020"/>
    <x v="0"/>
    <x v="3"/>
    <n v="4855.91"/>
    <n v="2263.46"/>
    <n v="25"/>
    <n v="3.53"/>
    <n v="2592.4499999999998"/>
  </r>
  <r>
    <d v="2020-09-27T00:00:00"/>
    <d v="2020-09-30T00:00:00"/>
    <n v="2020"/>
    <x v="2"/>
    <x v="2"/>
    <n v="6723.91"/>
    <n v="3135.49"/>
    <n v="10"/>
    <n v="3.31"/>
    <n v="3588.42"/>
  </r>
  <r>
    <d v="2020-09-28T00:00:00"/>
    <d v="2020-09-30T00:00:00"/>
    <n v="2020"/>
    <x v="4"/>
    <x v="2"/>
    <n v="3945.24"/>
    <n v="1869.03"/>
    <n v="72"/>
    <n v="3.79"/>
    <n v="2076.21"/>
  </r>
  <r>
    <d v="2020-09-29T00:00:00"/>
    <d v="2020-09-30T00:00:00"/>
    <n v="2020"/>
    <x v="4"/>
    <x v="0"/>
    <n v="4947.5200000000004"/>
    <n v="2911.02"/>
    <n v="30"/>
    <n v="1.02"/>
    <n v="2036.5000000000005"/>
  </r>
  <r>
    <d v="2020-09-30T00:00:00"/>
    <d v="2020-09-30T00:00:00"/>
    <n v="2020"/>
    <x v="0"/>
    <x v="2"/>
    <n v="7656.2"/>
    <n v="2276.87"/>
    <n v="39"/>
    <n v="1.4"/>
    <n v="5379.33"/>
  </r>
  <r>
    <d v="2020-10-01T00:00:00"/>
    <d v="2020-10-31T00:00:00"/>
    <n v="2020"/>
    <x v="2"/>
    <x v="0"/>
    <n v="4059.55"/>
    <n v="2411.58"/>
    <n v="22"/>
    <n v="4.4800000000000004"/>
    <n v="1647.9700000000003"/>
  </r>
  <r>
    <d v="2020-10-02T00:00:00"/>
    <d v="2020-10-31T00:00:00"/>
    <n v="2020"/>
    <x v="2"/>
    <x v="2"/>
    <n v="7718.67"/>
    <n v="3988.87"/>
    <n v="43"/>
    <n v="3.73"/>
    <n v="3729.8"/>
  </r>
  <r>
    <d v="2020-10-03T00:00:00"/>
    <d v="2020-10-31T00:00:00"/>
    <n v="2020"/>
    <x v="1"/>
    <x v="3"/>
    <n v="6061.63"/>
    <n v="3873.05"/>
    <n v="13"/>
    <n v="1.45"/>
    <n v="2188.58"/>
  </r>
  <r>
    <d v="2020-10-04T00:00:00"/>
    <d v="2020-10-31T00:00:00"/>
    <n v="2020"/>
    <x v="2"/>
    <x v="2"/>
    <n v="4156.3"/>
    <n v="3487.31"/>
    <n v="37"/>
    <n v="4.37"/>
    <n v="668.99000000000024"/>
  </r>
  <r>
    <d v="2020-10-05T00:00:00"/>
    <d v="2020-10-31T00:00:00"/>
    <n v="2020"/>
    <x v="2"/>
    <x v="2"/>
    <n v="5948.61"/>
    <n v="2126.15"/>
    <n v="68"/>
    <n v="1.97"/>
    <n v="3822.4599999999996"/>
  </r>
  <r>
    <d v="2020-10-06T00:00:00"/>
    <d v="2020-10-31T00:00:00"/>
    <n v="2020"/>
    <x v="2"/>
    <x v="1"/>
    <n v="6458.83"/>
    <n v="2746.87"/>
    <n v="36"/>
    <n v="2.91"/>
    <n v="3711.96"/>
  </r>
  <r>
    <d v="2020-10-07T00:00:00"/>
    <d v="2020-10-31T00:00:00"/>
    <n v="2020"/>
    <x v="3"/>
    <x v="0"/>
    <n v="5932.71"/>
    <n v="3970.48"/>
    <n v="78"/>
    <n v="1.58"/>
    <n v="1962.23"/>
  </r>
  <r>
    <d v="2020-10-08T00:00:00"/>
    <d v="2020-10-31T00:00:00"/>
    <n v="2020"/>
    <x v="1"/>
    <x v="2"/>
    <n v="2644.66"/>
    <n v="3113.37"/>
    <n v="34"/>
    <n v="3.84"/>
    <n v="-468.71000000000004"/>
  </r>
  <r>
    <d v="2020-10-09T00:00:00"/>
    <d v="2020-10-31T00:00:00"/>
    <n v="2020"/>
    <x v="4"/>
    <x v="2"/>
    <n v="3909.29"/>
    <n v="4855.46"/>
    <n v="12"/>
    <n v="3.67"/>
    <n v="-946.17000000000007"/>
  </r>
  <r>
    <d v="2020-10-10T00:00:00"/>
    <d v="2020-10-31T00:00:00"/>
    <n v="2020"/>
    <x v="0"/>
    <x v="1"/>
    <n v="4628.72"/>
    <n v="3314.65"/>
    <n v="77"/>
    <n v="1.84"/>
    <n v="1314.0700000000002"/>
  </r>
  <r>
    <d v="2020-10-11T00:00:00"/>
    <d v="2020-10-31T00:00:00"/>
    <n v="2020"/>
    <x v="4"/>
    <x v="1"/>
    <n v="4888.3500000000004"/>
    <n v="3153.64"/>
    <n v="34"/>
    <n v="4.45"/>
    <n v="1734.7100000000005"/>
  </r>
  <r>
    <d v="2020-10-12T00:00:00"/>
    <d v="2020-10-31T00:00:00"/>
    <n v="2020"/>
    <x v="1"/>
    <x v="0"/>
    <n v="5931.01"/>
    <n v="2752.71"/>
    <n v="29"/>
    <n v="2.61"/>
    <n v="3178.3"/>
  </r>
  <r>
    <d v="2020-10-13T00:00:00"/>
    <d v="2020-10-31T00:00:00"/>
    <n v="2020"/>
    <x v="0"/>
    <x v="1"/>
    <n v="5266.55"/>
    <n v="3106.83"/>
    <n v="43"/>
    <n v="2.17"/>
    <n v="2159.7200000000003"/>
  </r>
  <r>
    <d v="2020-10-14T00:00:00"/>
    <d v="2020-10-31T00:00:00"/>
    <n v="2020"/>
    <x v="1"/>
    <x v="3"/>
    <n v="2996.98"/>
    <n v="2878.02"/>
    <n v="35"/>
    <n v="1.61"/>
    <n v="118.96000000000004"/>
  </r>
  <r>
    <d v="2020-10-15T00:00:00"/>
    <d v="2020-10-31T00:00:00"/>
    <n v="2020"/>
    <x v="2"/>
    <x v="1"/>
    <n v="5570.3"/>
    <n v="3566.49"/>
    <n v="14"/>
    <n v="2.06"/>
    <n v="2003.8100000000004"/>
  </r>
  <r>
    <d v="2020-10-16T00:00:00"/>
    <d v="2020-10-31T00:00:00"/>
    <n v="2020"/>
    <x v="0"/>
    <x v="3"/>
    <n v="5915.88"/>
    <n v="3765.36"/>
    <n v="70"/>
    <n v="1.0900000000000001"/>
    <n v="2150.52"/>
  </r>
  <r>
    <d v="2020-10-17T00:00:00"/>
    <d v="2020-10-31T00:00:00"/>
    <n v="2020"/>
    <x v="2"/>
    <x v="0"/>
    <n v="5839.69"/>
    <n v="2371.21"/>
    <n v="18"/>
    <n v="3.33"/>
    <n v="3468.4799999999996"/>
  </r>
  <r>
    <d v="2020-10-18T00:00:00"/>
    <d v="2020-10-31T00:00:00"/>
    <n v="2020"/>
    <x v="4"/>
    <x v="0"/>
    <n v="6621.17"/>
    <n v="1935.01"/>
    <n v="59"/>
    <n v="4.37"/>
    <n v="4686.16"/>
  </r>
  <r>
    <d v="2020-10-19T00:00:00"/>
    <d v="2020-10-31T00:00:00"/>
    <n v="2020"/>
    <x v="4"/>
    <x v="0"/>
    <n v="6250.88"/>
    <n v="1531.04"/>
    <n v="15"/>
    <n v="3.2"/>
    <n v="4719.84"/>
  </r>
  <r>
    <d v="2020-10-20T00:00:00"/>
    <d v="2020-10-31T00:00:00"/>
    <n v="2020"/>
    <x v="0"/>
    <x v="0"/>
    <n v="5688.77"/>
    <n v="3406.39"/>
    <n v="92"/>
    <n v="1.88"/>
    <n v="2282.3800000000006"/>
  </r>
  <r>
    <d v="2020-10-21T00:00:00"/>
    <d v="2020-10-31T00:00:00"/>
    <n v="2020"/>
    <x v="0"/>
    <x v="0"/>
    <n v="4894.75"/>
    <n v="2117.31"/>
    <n v="69"/>
    <n v="1.1299999999999999"/>
    <n v="2777.44"/>
  </r>
  <r>
    <d v="2020-10-22T00:00:00"/>
    <d v="2020-10-31T00:00:00"/>
    <n v="2020"/>
    <x v="1"/>
    <x v="3"/>
    <n v="2508.56"/>
    <n v="1277.69"/>
    <n v="53"/>
    <n v="1.86"/>
    <n v="1230.8699999999999"/>
  </r>
  <r>
    <d v="2020-10-23T00:00:00"/>
    <d v="2020-10-31T00:00:00"/>
    <n v="2020"/>
    <x v="1"/>
    <x v="3"/>
    <n v="5644.43"/>
    <n v="3310.86"/>
    <n v="20"/>
    <n v="2.66"/>
    <n v="2333.5700000000002"/>
  </r>
  <r>
    <d v="2020-10-24T00:00:00"/>
    <d v="2020-10-31T00:00:00"/>
    <n v="2020"/>
    <x v="2"/>
    <x v="0"/>
    <n v="5311.53"/>
    <n v="4994.3999999999996"/>
    <n v="75"/>
    <n v="4.04"/>
    <n v="317.13000000000011"/>
  </r>
  <r>
    <d v="2020-10-25T00:00:00"/>
    <d v="2020-10-31T00:00:00"/>
    <n v="2020"/>
    <x v="0"/>
    <x v="1"/>
    <n v="5407.37"/>
    <n v="2995.14"/>
    <n v="56"/>
    <n v="1.75"/>
    <n v="2412.23"/>
  </r>
  <r>
    <d v="2020-10-26T00:00:00"/>
    <d v="2020-10-31T00:00:00"/>
    <n v="2020"/>
    <x v="4"/>
    <x v="2"/>
    <n v="3084.88"/>
    <n v="3670.79"/>
    <n v="82"/>
    <n v="3.88"/>
    <n v="-585.90999999999985"/>
  </r>
  <r>
    <d v="2020-10-27T00:00:00"/>
    <d v="2020-10-31T00:00:00"/>
    <n v="2020"/>
    <x v="1"/>
    <x v="0"/>
    <n v="3378.42"/>
    <n v="3065.46"/>
    <n v="94"/>
    <n v="4.47"/>
    <n v="312.96000000000004"/>
  </r>
  <r>
    <d v="2020-10-28T00:00:00"/>
    <d v="2020-10-31T00:00:00"/>
    <n v="2020"/>
    <x v="1"/>
    <x v="1"/>
    <n v="6579.73"/>
    <n v="2920.89"/>
    <n v="97"/>
    <n v="2.82"/>
    <n v="3658.8399999999997"/>
  </r>
  <r>
    <d v="2020-10-29T00:00:00"/>
    <d v="2020-10-31T00:00:00"/>
    <n v="2020"/>
    <x v="4"/>
    <x v="2"/>
    <n v="4940.67"/>
    <n v="3735.26"/>
    <n v="95"/>
    <n v="4.29"/>
    <n v="1205.4099999999999"/>
  </r>
  <r>
    <d v="2020-10-30T00:00:00"/>
    <d v="2020-10-31T00:00:00"/>
    <n v="2020"/>
    <x v="1"/>
    <x v="0"/>
    <n v="6022.25"/>
    <n v="2767.78"/>
    <n v="12"/>
    <n v="3.22"/>
    <n v="3254.47"/>
  </r>
  <r>
    <d v="2020-10-31T00:00:00"/>
    <d v="2020-10-31T00:00:00"/>
    <n v="2020"/>
    <x v="2"/>
    <x v="0"/>
    <n v="5042.4799999999996"/>
    <n v="3213.91"/>
    <n v="85"/>
    <n v="3.55"/>
    <n v="1828.5699999999997"/>
  </r>
  <r>
    <d v="2020-11-01T00:00:00"/>
    <d v="2020-11-30T00:00:00"/>
    <n v="2020"/>
    <x v="0"/>
    <x v="3"/>
    <n v="5044.63"/>
    <n v="3257.36"/>
    <n v="39"/>
    <n v="3.11"/>
    <n v="1787.27"/>
  </r>
  <r>
    <d v="2020-11-02T00:00:00"/>
    <d v="2020-11-30T00:00:00"/>
    <n v="2020"/>
    <x v="4"/>
    <x v="2"/>
    <n v="6407.43"/>
    <n v="2465.5300000000002"/>
    <n v="99"/>
    <n v="2.85"/>
    <n v="3941.9"/>
  </r>
  <r>
    <d v="2020-11-03T00:00:00"/>
    <d v="2020-11-30T00:00:00"/>
    <n v="2020"/>
    <x v="0"/>
    <x v="2"/>
    <n v="4225.93"/>
    <n v="3793.63"/>
    <n v="30"/>
    <n v="1.94"/>
    <n v="432.30000000000018"/>
  </r>
  <r>
    <d v="2020-11-04T00:00:00"/>
    <d v="2020-11-30T00:00:00"/>
    <n v="2020"/>
    <x v="1"/>
    <x v="1"/>
    <n v="5144.18"/>
    <n v="2860.03"/>
    <n v="37"/>
    <n v="2.21"/>
    <n v="2284.15"/>
  </r>
  <r>
    <d v="2020-11-05T00:00:00"/>
    <d v="2020-11-30T00:00:00"/>
    <n v="2020"/>
    <x v="1"/>
    <x v="3"/>
    <n v="4306.59"/>
    <n v="2395.4"/>
    <n v="99"/>
    <n v="2.16"/>
    <n v="1911.19"/>
  </r>
  <r>
    <d v="2020-11-06T00:00:00"/>
    <d v="2020-11-30T00:00:00"/>
    <n v="2020"/>
    <x v="4"/>
    <x v="3"/>
    <n v="4348.26"/>
    <n v="3429.21"/>
    <n v="71"/>
    <n v="3.25"/>
    <n v="919.05000000000018"/>
  </r>
  <r>
    <d v="2020-11-07T00:00:00"/>
    <d v="2020-11-30T00:00:00"/>
    <n v="2020"/>
    <x v="2"/>
    <x v="3"/>
    <n v="4536.24"/>
    <n v="2281.23"/>
    <n v="42"/>
    <n v="1.48"/>
    <n v="2255.0099999999998"/>
  </r>
  <r>
    <d v="2020-11-08T00:00:00"/>
    <d v="2020-11-30T00:00:00"/>
    <n v="2020"/>
    <x v="3"/>
    <x v="3"/>
    <n v="5333.2"/>
    <n v="3022.54"/>
    <n v="94"/>
    <n v="4.67"/>
    <n v="2310.66"/>
  </r>
  <r>
    <d v="2020-11-09T00:00:00"/>
    <d v="2020-11-30T00:00:00"/>
    <n v="2020"/>
    <x v="4"/>
    <x v="2"/>
    <n v="4281.88"/>
    <n v="2992.7"/>
    <n v="44"/>
    <n v="3.88"/>
    <n v="1289.1800000000003"/>
  </r>
  <r>
    <d v="2020-11-10T00:00:00"/>
    <d v="2020-11-30T00:00:00"/>
    <n v="2020"/>
    <x v="3"/>
    <x v="2"/>
    <n v="6883.63"/>
    <n v="3868.72"/>
    <n v="61"/>
    <n v="2.61"/>
    <n v="3014.9100000000003"/>
  </r>
  <r>
    <d v="2020-11-11T00:00:00"/>
    <d v="2020-11-30T00:00:00"/>
    <n v="2020"/>
    <x v="3"/>
    <x v="0"/>
    <n v="3658.09"/>
    <n v="3379.76"/>
    <n v="43"/>
    <n v="1.63"/>
    <n v="278.32999999999993"/>
  </r>
  <r>
    <d v="2020-11-12T00:00:00"/>
    <d v="2020-11-30T00:00:00"/>
    <n v="2020"/>
    <x v="2"/>
    <x v="0"/>
    <n v="4719.6899999999996"/>
    <n v="2979.98"/>
    <n v="50"/>
    <n v="4.53"/>
    <n v="1739.7099999999996"/>
  </r>
  <r>
    <d v="2020-11-13T00:00:00"/>
    <d v="2020-11-30T00:00:00"/>
    <n v="2020"/>
    <x v="3"/>
    <x v="3"/>
    <n v="4340.3999999999996"/>
    <n v="3654.21"/>
    <n v="60"/>
    <n v="4.3"/>
    <n v="686.1899999999996"/>
  </r>
  <r>
    <d v="2020-11-14T00:00:00"/>
    <d v="2020-11-30T00:00:00"/>
    <n v="2020"/>
    <x v="3"/>
    <x v="3"/>
    <n v="7170.47"/>
    <n v="4112.17"/>
    <n v="56"/>
    <n v="3.89"/>
    <n v="3058.3"/>
  </r>
  <r>
    <d v="2020-11-15T00:00:00"/>
    <d v="2020-11-30T00:00:00"/>
    <n v="2020"/>
    <x v="2"/>
    <x v="3"/>
    <n v="5294.83"/>
    <n v="3446.25"/>
    <n v="91"/>
    <n v="2.09"/>
    <n v="1848.58"/>
  </r>
  <r>
    <d v="2020-11-16T00:00:00"/>
    <d v="2020-11-30T00:00:00"/>
    <n v="2020"/>
    <x v="3"/>
    <x v="0"/>
    <n v="6547.77"/>
    <n v="3008.28"/>
    <n v="67"/>
    <n v="2.61"/>
    <n v="3539.4900000000002"/>
  </r>
  <r>
    <d v="2020-11-17T00:00:00"/>
    <d v="2020-11-30T00:00:00"/>
    <n v="2020"/>
    <x v="3"/>
    <x v="1"/>
    <n v="2771.66"/>
    <n v="1950.53"/>
    <n v="84"/>
    <n v="1.41"/>
    <n v="821.12999999999988"/>
  </r>
  <r>
    <d v="2020-11-18T00:00:00"/>
    <d v="2020-11-30T00:00:00"/>
    <n v="2020"/>
    <x v="3"/>
    <x v="1"/>
    <n v="5400.58"/>
    <n v="2147.91"/>
    <n v="66"/>
    <n v="1.76"/>
    <n v="3252.67"/>
  </r>
  <r>
    <d v="2020-11-19T00:00:00"/>
    <d v="2020-11-30T00:00:00"/>
    <n v="2020"/>
    <x v="4"/>
    <x v="0"/>
    <n v="6334.45"/>
    <n v="2755.82"/>
    <n v="32"/>
    <n v="4.13"/>
    <n v="3578.6299999999997"/>
  </r>
  <r>
    <d v="2020-11-20T00:00:00"/>
    <d v="2020-11-30T00:00:00"/>
    <n v="2020"/>
    <x v="4"/>
    <x v="0"/>
    <n v="5123.43"/>
    <n v="2512.39"/>
    <n v="57"/>
    <n v="3.86"/>
    <n v="2611.0400000000004"/>
  </r>
  <r>
    <d v="2020-11-21T00:00:00"/>
    <d v="2020-11-30T00:00:00"/>
    <n v="2020"/>
    <x v="4"/>
    <x v="0"/>
    <n v="6598.22"/>
    <n v="2850.42"/>
    <n v="31"/>
    <n v="3.37"/>
    <n v="3747.8"/>
  </r>
  <r>
    <d v="2020-11-22T00:00:00"/>
    <d v="2020-11-30T00:00:00"/>
    <n v="2020"/>
    <x v="2"/>
    <x v="0"/>
    <n v="4224.07"/>
    <n v="3045.32"/>
    <n v="26"/>
    <n v="4.58"/>
    <n v="1178.7499999999995"/>
  </r>
  <r>
    <d v="2020-11-23T00:00:00"/>
    <d v="2020-11-30T00:00:00"/>
    <n v="2020"/>
    <x v="1"/>
    <x v="0"/>
    <n v="7114.02"/>
    <n v="3423.75"/>
    <n v="78"/>
    <n v="3.33"/>
    <n v="3690.2700000000004"/>
  </r>
  <r>
    <d v="2020-11-24T00:00:00"/>
    <d v="2020-11-30T00:00:00"/>
    <n v="2020"/>
    <x v="3"/>
    <x v="0"/>
    <n v="8448.35"/>
    <n v="2943.6"/>
    <n v="20"/>
    <n v="2.87"/>
    <n v="5504.75"/>
  </r>
  <r>
    <d v="2020-11-25T00:00:00"/>
    <d v="2020-11-30T00:00:00"/>
    <n v="2020"/>
    <x v="3"/>
    <x v="3"/>
    <n v="4455.74"/>
    <n v="3389.2"/>
    <n v="24"/>
    <n v="2.36"/>
    <n v="1066.54"/>
  </r>
  <r>
    <d v="2020-11-26T00:00:00"/>
    <d v="2020-11-30T00:00:00"/>
    <n v="2020"/>
    <x v="2"/>
    <x v="3"/>
    <n v="4331.75"/>
    <n v="3051.58"/>
    <n v="44"/>
    <n v="4.76"/>
    <n v="1280.17"/>
  </r>
  <r>
    <d v="2020-11-27T00:00:00"/>
    <d v="2020-11-30T00:00:00"/>
    <n v="2020"/>
    <x v="3"/>
    <x v="3"/>
    <n v="7180.08"/>
    <n v="1419.63"/>
    <n v="42"/>
    <n v="1.33"/>
    <n v="5760.45"/>
  </r>
  <r>
    <d v="2020-11-28T00:00:00"/>
    <d v="2020-11-30T00:00:00"/>
    <n v="2020"/>
    <x v="4"/>
    <x v="3"/>
    <n v="7369.36"/>
    <n v="2248.5300000000002"/>
    <n v="93"/>
    <n v="4.72"/>
    <n v="5120.83"/>
  </r>
  <r>
    <d v="2020-11-29T00:00:00"/>
    <d v="2020-11-30T00:00:00"/>
    <n v="2020"/>
    <x v="1"/>
    <x v="0"/>
    <n v="4215.71"/>
    <n v="2884.73"/>
    <n v="25"/>
    <n v="4.3099999999999996"/>
    <n v="1330.98"/>
  </r>
  <r>
    <d v="2020-11-30T00:00:00"/>
    <d v="2020-11-30T00:00:00"/>
    <n v="2020"/>
    <x v="0"/>
    <x v="1"/>
    <n v="4369.72"/>
    <n v="2032.24"/>
    <n v="43"/>
    <n v="1.52"/>
    <n v="2337.4800000000005"/>
  </r>
  <r>
    <d v="2020-12-01T00:00:00"/>
    <d v="2020-12-31T00:00:00"/>
    <n v="2020"/>
    <x v="3"/>
    <x v="2"/>
    <n v="4577.32"/>
    <n v="3479.94"/>
    <n v="75"/>
    <n v="3.26"/>
    <n v="1097.3799999999997"/>
  </r>
  <r>
    <d v="2020-12-02T00:00:00"/>
    <d v="2020-12-31T00:00:00"/>
    <n v="2020"/>
    <x v="4"/>
    <x v="0"/>
    <n v="2983.32"/>
    <n v="4224.6000000000004"/>
    <n v="49"/>
    <n v="4.47"/>
    <n v="-1241.2800000000002"/>
  </r>
  <r>
    <d v="2020-12-03T00:00:00"/>
    <d v="2020-12-31T00:00:00"/>
    <n v="2020"/>
    <x v="0"/>
    <x v="2"/>
    <n v="3622.02"/>
    <n v="3975.01"/>
    <n v="37"/>
    <n v="3.29"/>
    <n v="-352.99000000000024"/>
  </r>
  <r>
    <d v="2020-12-04T00:00:00"/>
    <d v="2020-12-31T00:00:00"/>
    <n v="2020"/>
    <x v="1"/>
    <x v="1"/>
    <n v="3493.79"/>
    <n v="2829.25"/>
    <n v="56"/>
    <n v="4.63"/>
    <n v="664.54"/>
  </r>
  <r>
    <d v="2020-12-05T00:00:00"/>
    <d v="2020-12-31T00:00:00"/>
    <n v="2020"/>
    <x v="0"/>
    <x v="3"/>
    <n v="3848.3"/>
    <n v="4192.58"/>
    <n v="48"/>
    <n v="4.7699999999999996"/>
    <n v="-344.27999999999975"/>
  </r>
  <r>
    <d v="2020-12-06T00:00:00"/>
    <d v="2020-12-31T00:00:00"/>
    <n v="2020"/>
    <x v="4"/>
    <x v="1"/>
    <n v="4947.97"/>
    <n v="3118.93"/>
    <n v="79"/>
    <n v="2.69"/>
    <n v="1829.0400000000004"/>
  </r>
  <r>
    <d v="2020-12-07T00:00:00"/>
    <d v="2020-12-31T00:00:00"/>
    <n v="2020"/>
    <x v="0"/>
    <x v="0"/>
    <n v="5351.32"/>
    <n v="2730.33"/>
    <n v="82"/>
    <n v="2.5099999999999998"/>
    <n v="2620.9899999999998"/>
  </r>
  <r>
    <d v="2020-12-08T00:00:00"/>
    <d v="2020-12-31T00:00:00"/>
    <n v="2020"/>
    <x v="2"/>
    <x v="3"/>
    <n v="7325.75"/>
    <n v="2509.2800000000002"/>
    <n v="29"/>
    <n v="4.75"/>
    <n v="4816.4699999999993"/>
  </r>
  <r>
    <d v="2020-12-09T00:00:00"/>
    <d v="2020-12-31T00:00:00"/>
    <n v="2020"/>
    <x v="0"/>
    <x v="0"/>
    <n v="3502.47"/>
    <n v="2758.02"/>
    <n v="10"/>
    <n v="3.7"/>
    <n v="744.44999999999982"/>
  </r>
  <r>
    <d v="2020-12-10T00:00:00"/>
    <d v="2020-12-31T00:00:00"/>
    <n v="2020"/>
    <x v="3"/>
    <x v="3"/>
    <n v="6476.48"/>
    <n v="2689.46"/>
    <n v="81"/>
    <n v="1.46"/>
    <n v="3787.0199999999995"/>
  </r>
  <r>
    <d v="2020-12-11T00:00:00"/>
    <d v="2020-12-31T00:00:00"/>
    <n v="2020"/>
    <x v="3"/>
    <x v="2"/>
    <n v="4679.0200000000004"/>
    <n v="3136.33"/>
    <n v="96"/>
    <n v="1.17"/>
    <n v="1542.6900000000005"/>
  </r>
  <r>
    <d v="2020-12-12T00:00:00"/>
    <d v="2020-12-31T00:00:00"/>
    <n v="2020"/>
    <x v="2"/>
    <x v="2"/>
    <n v="4925.8"/>
    <n v="3128.46"/>
    <n v="72"/>
    <n v="3.26"/>
    <n v="1797.3400000000001"/>
  </r>
  <r>
    <d v="2020-12-13T00:00:00"/>
    <d v="2020-12-31T00:00:00"/>
    <n v="2020"/>
    <x v="4"/>
    <x v="2"/>
    <n v="6012.23"/>
    <n v="3002.44"/>
    <n v="76"/>
    <n v="4.72"/>
    <n v="3009.7899999999995"/>
  </r>
  <r>
    <d v="2020-12-14T00:00:00"/>
    <d v="2020-12-31T00:00:00"/>
    <n v="2020"/>
    <x v="3"/>
    <x v="1"/>
    <n v="3315.92"/>
    <n v="3349.55"/>
    <n v="13"/>
    <n v="4.38"/>
    <n v="-33.630000000000109"/>
  </r>
  <r>
    <d v="2020-12-15T00:00:00"/>
    <d v="2020-12-31T00:00:00"/>
    <n v="2020"/>
    <x v="1"/>
    <x v="0"/>
    <n v="5573.61"/>
    <n v="3952.52"/>
    <n v="67"/>
    <n v="3.7"/>
    <n v="1621.0899999999997"/>
  </r>
  <r>
    <d v="2020-12-16T00:00:00"/>
    <d v="2020-12-31T00:00:00"/>
    <n v="2020"/>
    <x v="3"/>
    <x v="1"/>
    <n v="5249.68"/>
    <n v="3759.64"/>
    <n v="34"/>
    <n v="1.56"/>
    <n v="1490.0400000000004"/>
  </r>
  <r>
    <d v="2020-12-17T00:00:00"/>
    <d v="2020-12-31T00:00:00"/>
    <n v="2020"/>
    <x v="3"/>
    <x v="2"/>
    <n v="5738.68"/>
    <n v="1812.08"/>
    <n v="56"/>
    <n v="2.02"/>
    <n v="3926.6000000000004"/>
  </r>
  <r>
    <d v="2020-12-18T00:00:00"/>
    <d v="2020-12-31T00:00:00"/>
    <n v="2020"/>
    <x v="4"/>
    <x v="0"/>
    <n v="5433.75"/>
    <n v="956.86"/>
    <n v="47"/>
    <n v="4.5"/>
    <n v="4476.8900000000003"/>
  </r>
  <r>
    <d v="2020-12-19T00:00:00"/>
    <d v="2020-12-31T00:00:00"/>
    <n v="2020"/>
    <x v="0"/>
    <x v="2"/>
    <n v="8682.9500000000007"/>
    <n v="3747.46"/>
    <n v="24"/>
    <n v="1.73"/>
    <n v="4935.4900000000007"/>
  </r>
  <r>
    <d v="2020-12-20T00:00:00"/>
    <d v="2020-12-31T00:00:00"/>
    <n v="2020"/>
    <x v="3"/>
    <x v="1"/>
    <n v="4043.39"/>
    <n v="1906.5"/>
    <n v="72"/>
    <n v="2.11"/>
    <n v="2136.89"/>
  </r>
  <r>
    <d v="2020-12-21T00:00:00"/>
    <d v="2020-12-31T00:00:00"/>
    <n v="2020"/>
    <x v="2"/>
    <x v="1"/>
    <n v="4203.5"/>
    <n v="2820.19"/>
    <n v="30"/>
    <n v="1.52"/>
    <n v="1383.31"/>
  </r>
  <r>
    <d v="2020-12-22T00:00:00"/>
    <d v="2020-12-31T00:00:00"/>
    <n v="2020"/>
    <x v="0"/>
    <x v="1"/>
    <n v="4065.29"/>
    <n v="2063.91"/>
    <n v="66"/>
    <n v="3.7"/>
    <n v="2001.38"/>
  </r>
  <r>
    <d v="2020-12-23T00:00:00"/>
    <d v="2020-12-31T00:00:00"/>
    <n v="2020"/>
    <x v="1"/>
    <x v="2"/>
    <n v="4166.78"/>
    <n v="1558.42"/>
    <n v="62"/>
    <n v="4.78"/>
    <n v="2608.3599999999997"/>
  </r>
  <r>
    <d v="2020-12-24T00:00:00"/>
    <d v="2020-12-31T00:00:00"/>
    <n v="2020"/>
    <x v="4"/>
    <x v="0"/>
    <n v="4043.92"/>
    <n v="3433.17"/>
    <n v="55"/>
    <n v="2.08"/>
    <n v="610.75"/>
  </r>
  <r>
    <d v="2020-12-25T00:00:00"/>
    <d v="2020-12-31T00:00:00"/>
    <n v="2020"/>
    <x v="1"/>
    <x v="0"/>
    <n v="6783.52"/>
    <n v="3607.32"/>
    <n v="23"/>
    <n v="2.9"/>
    <n v="3176.2000000000003"/>
  </r>
  <r>
    <d v="2020-12-26T00:00:00"/>
    <d v="2020-12-31T00:00:00"/>
    <n v="2020"/>
    <x v="0"/>
    <x v="2"/>
    <n v="7130.76"/>
    <n v="2538.79"/>
    <n v="85"/>
    <n v="3.54"/>
    <n v="4591.97"/>
  </r>
  <r>
    <d v="2020-12-27T00:00:00"/>
    <d v="2020-12-31T00:00:00"/>
    <n v="2020"/>
    <x v="0"/>
    <x v="0"/>
    <n v="4143.88"/>
    <n v="927.17"/>
    <n v="26"/>
    <n v="5"/>
    <n v="3216.71"/>
  </r>
  <r>
    <d v="2020-12-28T00:00:00"/>
    <d v="2020-12-31T00:00:00"/>
    <n v="2020"/>
    <x v="0"/>
    <x v="2"/>
    <n v="3751.47"/>
    <n v="2563"/>
    <n v="48"/>
    <n v="1.42"/>
    <n v="1188.4699999999998"/>
  </r>
  <r>
    <d v="2020-12-29T00:00:00"/>
    <d v="2020-12-31T00:00:00"/>
    <n v="2020"/>
    <x v="1"/>
    <x v="0"/>
    <n v="5707.12"/>
    <n v="3313.44"/>
    <n v="18"/>
    <n v="2.99"/>
    <n v="2393.6799999999998"/>
  </r>
  <r>
    <d v="2020-12-30T00:00:00"/>
    <d v="2020-12-31T00:00:00"/>
    <n v="2020"/>
    <x v="0"/>
    <x v="3"/>
    <n v="4171.67"/>
    <n v="1816.87"/>
    <n v="86"/>
    <n v="2.54"/>
    <n v="2354.8000000000002"/>
  </r>
  <r>
    <d v="2020-12-31T00:00:00"/>
    <d v="2020-12-31T00:00:00"/>
    <n v="2020"/>
    <x v="1"/>
    <x v="3"/>
    <n v="5949.4"/>
    <n v="3146.69"/>
    <n v="88"/>
    <n v="4.46"/>
    <n v="2802.7099999999996"/>
  </r>
  <r>
    <d v="2021-01-01T00:00:00"/>
    <d v="2021-01-31T00:00:00"/>
    <n v="2021"/>
    <x v="0"/>
    <x v="1"/>
    <n v="5304.38"/>
    <n v="2987.75"/>
    <n v="91"/>
    <n v="2.9"/>
    <n v="2316.63"/>
  </r>
  <r>
    <d v="2021-01-02T00:00:00"/>
    <d v="2021-01-31T00:00:00"/>
    <n v="2021"/>
    <x v="2"/>
    <x v="3"/>
    <n v="2726.38"/>
    <n v="3463.43"/>
    <n v="15"/>
    <n v="1.44"/>
    <n v="-737.04999999999973"/>
  </r>
  <r>
    <d v="2021-01-03T00:00:00"/>
    <d v="2021-01-31T00:00:00"/>
    <n v="2021"/>
    <x v="0"/>
    <x v="3"/>
    <n v="7321.26"/>
    <n v="3095.66"/>
    <n v="32"/>
    <n v="3.54"/>
    <n v="4225.6000000000004"/>
  </r>
  <r>
    <d v="2021-01-04T00:00:00"/>
    <d v="2021-01-31T00:00:00"/>
    <n v="2021"/>
    <x v="1"/>
    <x v="3"/>
    <n v="7693.82"/>
    <n v="2221.54"/>
    <n v="68"/>
    <n v="4.08"/>
    <n v="5472.28"/>
  </r>
  <r>
    <d v="2021-01-05T00:00:00"/>
    <d v="2021-01-31T00:00:00"/>
    <n v="2021"/>
    <x v="3"/>
    <x v="2"/>
    <n v="4080.82"/>
    <n v="3957.26"/>
    <n v="55"/>
    <n v="1.01"/>
    <n v="123.55999999999995"/>
  </r>
  <r>
    <d v="2021-01-06T00:00:00"/>
    <d v="2021-01-31T00:00:00"/>
    <n v="2021"/>
    <x v="0"/>
    <x v="3"/>
    <n v="4418.45"/>
    <n v="2873.18"/>
    <n v="47"/>
    <n v="4.4400000000000004"/>
    <n v="1545.27"/>
  </r>
  <r>
    <d v="2021-01-07T00:00:00"/>
    <d v="2021-01-31T00:00:00"/>
    <n v="2021"/>
    <x v="3"/>
    <x v="3"/>
    <n v="5428.8"/>
    <n v="2978.16"/>
    <n v="23"/>
    <n v="1.74"/>
    <n v="2450.6400000000003"/>
  </r>
  <r>
    <d v="2021-01-08T00:00:00"/>
    <d v="2021-01-31T00:00:00"/>
    <n v="2021"/>
    <x v="2"/>
    <x v="1"/>
    <n v="5501.69"/>
    <n v="2253.39"/>
    <n v="81"/>
    <n v="3.21"/>
    <n v="3248.2999999999997"/>
  </r>
  <r>
    <d v="2021-01-09T00:00:00"/>
    <d v="2021-01-31T00:00:00"/>
    <n v="2021"/>
    <x v="4"/>
    <x v="3"/>
    <n v="5987.82"/>
    <n v="2645.37"/>
    <n v="71"/>
    <n v="2.66"/>
    <n v="3342.45"/>
  </r>
  <r>
    <d v="2021-01-10T00:00:00"/>
    <d v="2021-01-31T00:00:00"/>
    <n v="2021"/>
    <x v="2"/>
    <x v="3"/>
    <n v="8015.31"/>
    <n v="2292.16"/>
    <n v="44"/>
    <n v="3.88"/>
    <n v="5723.1500000000005"/>
  </r>
  <r>
    <d v="2021-01-11T00:00:00"/>
    <d v="2021-01-31T00:00:00"/>
    <n v="2021"/>
    <x v="0"/>
    <x v="0"/>
    <n v="4734.58"/>
    <n v="2861.64"/>
    <n v="28"/>
    <n v="2.48"/>
    <n v="1872.94"/>
  </r>
  <r>
    <d v="2021-01-12T00:00:00"/>
    <d v="2021-01-31T00:00:00"/>
    <n v="2021"/>
    <x v="3"/>
    <x v="1"/>
    <n v="3802.55"/>
    <n v="4369.37"/>
    <n v="39"/>
    <n v="4.4800000000000004"/>
    <n v="-566.81999999999971"/>
  </r>
  <r>
    <d v="2021-01-13T00:00:00"/>
    <d v="2021-01-31T00:00:00"/>
    <n v="2021"/>
    <x v="3"/>
    <x v="1"/>
    <n v="2931.02"/>
    <n v="1902.48"/>
    <n v="87"/>
    <n v="3.92"/>
    <n v="1028.54"/>
  </r>
  <r>
    <d v="2021-01-14T00:00:00"/>
    <d v="2021-01-31T00:00:00"/>
    <n v="2021"/>
    <x v="1"/>
    <x v="1"/>
    <n v="3903.6"/>
    <n v="1709.15"/>
    <n v="93"/>
    <n v="3.59"/>
    <n v="2194.4499999999998"/>
  </r>
  <r>
    <d v="2021-01-15T00:00:00"/>
    <d v="2021-01-31T00:00:00"/>
    <n v="2021"/>
    <x v="3"/>
    <x v="1"/>
    <n v="4950.3100000000004"/>
    <n v="4176.9399999999996"/>
    <n v="34"/>
    <n v="4.18"/>
    <n v="773.3700000000008"/>
  </r>
  <r>
    <d v="2021-01-16T00:00:00"/>
    <d v="2021-01-31T00:00:00"/>
    <n v="2021"/>
    <x v="1"/>
    <x v="1"/>
    <n v="7691.84"/>
    <n v="2832.54"/>
    <n v="49"/>
    <n v="4.0199999999999996"/>
    <n v="4859.3"/>
  </r>
  <r>
    <d v="2021-01-17T00:00:00"/>
    <d v="2021-01-31T00:00:00"/>
    <n v="2021"/>
    <x v="4"/>
    <x v="1"/>
    <n v="4223.58"/>
    <n v="2464.7399999999998"/>
    <n v="97"/>
    <n v="1.1399999999999999"/>
    <n v="1758.8400000000001"/>
  </r>
  <r>
    <d v="2021-01-18T00:00:00"/>
    <d v="2021-01-31T00:00:00"/>
    <n v="2021"/>
    <x v="0"/>
    <x v="2"/>
    <n v="5335.68"/>
    <n v="3831.92"/>
    <n v="23"/>
    <n v="2.58"/>
    <n v="1503.7600000000002"/>
  </r>
  <r>
    <d v="2021-01-19T00:00:00"/>
    <d v="2021-01-31T00:00:00"/>
    <n v="2021"/>
    <x v="1"/>
    <x v="3"/>
    <n v="4975.37"/>
    <n v="2515.5100000000002"/>
    <n v="35"/>
    <n v="4.72"/>
    <n v="2459.8599999999997"/>
  </r>
  <r>
    <d v="2021-01-20T00:00:00"/>
    <d v="2021-01-31T00:00:00"/>
    <n v="2021"/>
    <x v="4"/>
    <x v="1"/>
    <n v="6782.59"/>
    <n v="4460.8100000000004"/>
    <n v="96"/>
    <n v="1.5"/>
    <n v="2321.7799999999997"/>
  </r>
  <r>
    <d v="2021-01-21T00:00:00"/>
    <d v="2021-01-31T00:00:00"/>
    <n v="2021"/>
    <x v="3"/>
    <x v="3"/>
    <n v="8790.4"/>
    <n v="3542.34"/>
    <n v="31"/>
    <n v="3.95"/>
    <n v="5248.0599999999995"/>
  </r>
  <r>
    <d v="2021-01-22T00:00:00"/>
    <d v="2021-01-31T00:00:00"/>
    <n v="2021"/>
    <x v="3"/>
    <x v="3"/>
    <n v="4203.7"/>
    <n v="2609.67"/>
    <n v="57"/>
    <n v="4.9000000000000004"/>
    <n v="1594.0299999999997"/>
  </r>
  <r>
    <d v="2021-01-23T00:00:00"/>
    <d v="2021-01-31T00:00:00"/>
    <n v="2021"/>
    <x v="4"/>
    <x v="2"/>
    <n v="4265.84"/>
    <n v="4725.8500000000004"/>
    <n v="92"/>
    <n v="1.21"/>
    <n v="-460.01000000000022"/>
  </r>
  <r>
    <d v="2021-01-24T00:00:00"/>
    <d v="2021-01-31T00:00:00"/>
    <n v="2021"/>
    <x v="3"/>
    <x v="1"/>
    <n v="6566.24"/>
    <n v="2515.4299999999998"/>
    <n v="60"/>
    <n v="3.73"/>
    <n v="4050.81"/>
  </r>
  <r>
    <d v="2021-01-25T00:00:00"/>
    <d v="2021-01-31T00:00:00"/>
    <n v="2021"/>
    <x v="4"/>
    <x v="0"/>
    <n v="6022.84"/>
    <n v="3593.68"/>
    <n v="12"/>
    <n v="2.87"/>
    <n v="2429.1600000000003"/>
  </r>
  <r>
    <d v="2021-01-26T00:00:00"/>
    <d v="2021-01-31T00:00:00"/>
    <n v="2021"/>
    <x v="1"/>
    <x v="2"/>
    <n v="7770.06"/>
    <n v="3239.43"/>
    <n v="51"/>
    <n v="3.32"/>
    <n v="4530.630000000001"/>
  </r>
  <r>
    <d v="2021-01-27T00:00:00"/>
    <d v="2021-01-31T00:00:00"/>
    <n v="2021"/>
    <x v="1"/>
    <x v="0"/>
    <n v="5875.89"/>
    <n v="4041.39"/>
    <n v="28"/>
    <n v="1.34"/>
    <n v="1834.5000000000005"/>
  </r>
  <r>
    <d v="2021-01-28T00:00:00"/>
    <d v="2021-01-31T00:00:00"/>
    <n v="2021"/>
    <x v="4"/>
    <x v="3"/>
    <n v="4461.0600000000004"/>
    <n v="4249.21"/>
    <n v="82"/>
    <n v="1.17"/>
    <n v="211.85000000000036"/>
  </r>
  <r>
    <d v="2021-01-29T00:00:00"/>
    <d v="2021-01-31T00:00:00"/>
    <n v="2021"/>
    <x v="1"/>
    <x v="3"/>
    <n v="5885.98"/>
    <n v="3025.6"/>
    <n v="37"/>
    <n v="3.67"/>
    <n v="2860.3799999999997"/>
  </r>
  <r>
    <d v="2021-01-30T00:00:00"/>
    <d v="2021-01-31T00:00:00"/>
    <n v="2021"/>
    <x v="1"/>
    <x v="2"/>
    <n v="6663.06"/>
    <n v="2397.27"/>
    <n v="93"/>
    <n v="4.29"/>
    <n v="4265.7900000000009"/>
  </r>
  <r>
    <d v="2021-01-31T00:00:00"/>
    <d v="2021-01-31T00:00:00"/>
    <n v="2021"/>
    <x v="1"/>
    <x v="2"/>
    <n v="6230.72"/>
    <n v="3367.98"/>
    <n v="54"/>
    <n v="4.13"/>
    <n v="2862.7400000000002"/>
  </r>
  <r>
    <d v="2021-02-01T00:00:00"/>
    <d v="2021-02-28T00:00:00"/>
    <n v="2021"/>
    <x v="2"/>
    <x v="0"/>
    <n v="5760.91"/>
    <n v="2457.83"/>
    <n v="80"/>
    <n v="3.18"/>
    <n v="3303.08"/>
  </r>
  <r>
    <d v="2021-02-02T00:00:00"/>
    <d v="2021-02-28T00:00:00"/>
    <n v="2021"/>
    <x v="0"/>
    <x v="1"/>
    <n v="6600.01"/>
    <n v="4610.71"/>
    <n v="87"/>
    <n v="1.4"/>
    <n v="1989.3000000000002"/>
  </r>
  <r>
    <d v="2021-02-03T00:00:00"/>
    <d v="2021-02-28T00:00:00"/>
    <n v="2021"/>
    <x v="3"/>
    <x v="0"/>
    <n v="6753.94"/>
    <n v="3109.23"/>
    <n v="72"/>
    <n v="3.75"/>
    <n v="3644.7099999999996"/>
  </r>
  <r>
    <d v="2021-02-04T00:00:00"/>
    <d v="2021-02-28T00:00:00"/>
    <n v="2021"/>
    <x v="2"/>
    <x v="2"/>
    <n v="7073.24"/>
    <n v="2707.74"/>
    <n v="82"/>
    <n v="1.97"/>
    <n v="4365.5"/>
  </r>
  <r>
    <d v="2021-02-05T00:00:00"/>
    <d v="2021-02-28T00:00:00"/>
    <n v="2021"/>
    <x v="1"/>
    <x v="0"/>
    <n v="5973.06"/>
    <n v="3147.74"/>
    <n v="28"/>
    <n v="4.6399999999999997"/>
    <n v="2825.3200000000006"/>
  </r>
  <r>
    <d v="2021-02-06T00:00:00"/>
    <d v="2021-02-28T00:00:00"/>
    <n v="2021"/>
    <x v="4"/>
    <x v="2"/>
    <n v="4749.32"/>
    <n v="1922.3"/>
    <n v="56"/>
    <n v="4.3499999999999996"/>
    <n v="2827.0199999999995"/>
  </r>
  <r>
    <d v="2021-02-07T00:00:00"/>
    <d v="2021-02-28T00:00:00"/>
    <n v="2021"/>
    <x v="1"/>
    <x v="0"/>
    <n v="5220.07"/>
    <n v="2222.71"/>
    <n v="23"/>
    <n v="3.84"/>
    <n v="2997.3599999999997"/>
  </r>
  <r>
    <d v="2021-02-08T00:00:00"/>
    <d v="2021-02-28T00:00:00"/>
    <n v="2021"/>
    <x v="0"/>
    <x v="2"/>
    <n v="6809.76"/>
    <n v="3960.33"/>
    <n v="47"/>
    <n v="4.8"/>
    <n v="2849.4300000000003"/>
  </r>
  <r>
    <d v="2021-02-09T00:00:00"/>
    <d v="2021-02-28T00:00:00"/>
    <n v="2021"/>
    <x v="1"/>
    <x v="2"/>
    <n v="3774.6"/>
    <n v="2474.48"/>
    <n v="62"/>
    <n v="1.1299999999999999"/>
    <n v="1300.1199999999999"/>
  </r>
  <r>
    <d v="2021-02-10T00:00:00"/>
    <d v="2021-02-28T00:00:00"/>
    <n v="2021"/>
    <x v="4"/>
    <x v="2"/>
    <n v="5553.01"/>
    <n v="2162.4699999999998"/>
    <n v="70"/>
    <n v="3.94"/>
    <n v="3390.5400000000004"/>
  </r>
  <r>
    <d v="2021-02-11T00:00:00"/>
    <d v="2021-02-28T00:00:00"/>
    <n v="2021"/>
    <x v="0"/>
    <x v="1"/>
    <n v="4409.99"/>
    <n v="3429.32"/>
    <n v="45"/>
    <n v="2.3199999999999998"/>
    <n v="980.66999999999962"/>
  </r>
  <r>
    <d v="2021-02-12T00:00:00"/>
    <d v="2021-02-28T00:00:00"/>
    <n v="2021"/>
    <x v="1"/>
    <x v="0"/>
    <n v="5043.12"/>
    <n v="3948.56"/>
    <n v="49"/>
    <n v="4.62"/>
    <n v="1094.56"/>
  </r>
  <r>
    <d v="2021-02-13T00:00:00"/>
    <d v="2021-02-28T00:00:00"/>
    <n v="2021"/>
    <x v="0"/>
    <x v="0"/>
    <n v="6917.68"/>
    <n v="3575.16"/>
    <n v="90"/>
    <n v="2.0699999999999998"/>
    <n v="3342.5200000000004"/>
  </r>
  <r>
    <d v="2021-02-14T00:00:00"/>
    <d v="2021-02-28T00:00:00"/>
    <n v="2021"/>
    <x v="3"/>
    <x v="0"/>
    <n v="5286.65"/>
    <n v="3796.84"/>
    <n v="39"/>
    <n v="3.9"/>
    <n v="1489.8099999999995"/>
  </r>
  <r>
    <d v="2021-02-15T00:00:00"/>
    <d v="2021-02-28T00:00:00"/>
    <n v="2021"/>
    <x v="3"/>
    <x v="2"/>
    <n v="5069.6499999999996"/>
    <n v="2394.56"/>
    <n v="18"/>
    <n v="4.51"/>
    <n v="2675.0899999999997"/>
  </r>
  <r>
    <d v="2021-02-16T00:00:00"/>
    <d v="2021-02-28T00:00:00"/>
    <n v="2021"/>
    <x v="1"/>
    <x v="0"/>
    <n v="2960.22"/>
    <n v="1862.55"/>
    <n v="73"/>
    <n v="1.17"/>
    <n v="1097.6699999999998"/>
  </r>
  <r>
    <d v="2021-02-17T00:00:00"/>
    <d v="2021-02-28T00:00:00"/>
    <n v="2021"/>
    <x v="0"/>
    <x v="0"/>
    <n v="6119.38"/>
    <n v="4201.07"/>
    <n v="42"/>
    <n v="2.59"/>
    <n v="1918.3100000000004"/>
  </r>
  <r>
    <d v="2021-02-18T00:00:00"/>
    <d v="2021-02-28T00:00:00"/>
    <n v="2021"/>
    <x v="4"/>
    <x v="2"/>
    <n v="5968.23"/>
    <n v="2741.86"/>
    <n v="61"/>
    <n v="4.05"/>
    <n v="3226.3699999999994"/>
  </r>
  <r>
    <d v="2021-02-19T00:00:00"/>
    <d v="2021-02-28T00:00:00"/>
    <n v="2021"/>
    <x v="1"/>
    <x v="3"/>
    <n v="8244.8799999999992"/>
    <n v="2799.33"/>
    <n v="98"/>
    <n v="2.82"/>
    <n v="5445.5499999999993"/>
  </r>
  <r>
    <d v="2021-02-20T00:00:00"/>
    <d v="2021-02-28T00:00:00"/>
    <n v="2021"/>
    <x v="3"/>
    <x v="2"/>
    <n v="4538.33"/>
    <n v="4062.56"/>
    <n v="23"/>
    <n v="2.0699999999999998"/>
    <n v="475.77"/>
  </r>
  <r>
    <d v="2021-02-21T00:00:00"/>
    <d v="2021-02-28T00:00:00"/>
    <n v="2021"/>
    <x v="3"/>
    <x v="0"/>
    <n v="5328.73"/>
    <n v="3444.98"/>
    <n v="84"/>
    <n v="1.88"/>
    <n v="1883.7499999999995"/>
  </r>
  <r>
    <d v="2021-02-22T00:00:00"/>
    <d v="2021-02-28T00:00:00"/>
    <n v="2021"/>
    <x v="1"/>
    <x v="2"/>
    <n v="5374.08"/>
    <n v="3364.71"/>
    <n v="62"/>
    <n v="1.53"/>
    <n v="2009.37"/>
  </r>
  <r>
    <d v="2021-02-23T00:00:00"/>
    <d v="2021-02-28T00:00:00"/>
    <n v="2021"/>
    <x v="0"/>
    <x v="3"/>
    <n v="7366.18"/>
    <n v="4732"/>
    <n v="68"/>
    <n v="4.43"/>
    <n v="2634.1800000000003"/>
  </r>
  <r>
    <d v="2021-02-24T00:00:00"/>
    <d v="2021-02-28T00:00:00"/>
    <n v="2021"/>
    <x v="3"/>
    <x v="2"/>
    <n v="4857.0600000000004"/>
    <n v="2485.19"/>
    <n v="87"/>
    <n v="3.3"/>
    <n v="2371.8700000000003"/>
  </r>
  <r>
    <d v="2021-02-25T00:00:00"/>
    <d v="2021-02-28T00:00:00"/>
    <n v="2021"/>
    <x v="0"/>
    <x v="0"/>
    <n v="5418.53"/>
    <n v="3742.27"/>
    <n v="50"/>
    <n v="1.31"/>
    <n v="1676.2599999999998"/>
  </r>
  <r>
    <d v="2021-02-26T00:00:00"/>
    <d v="2021-02-28T00:00:00"/>
    <n v="2021"/>
    <x v="3"/>
    <x v="3"/>
    <n v="5911.84"/>
    <n v="3045.61"/>
    <n v="77"/>
    <n v="2.5299999999999998"/>
    <n v="2866.23"/>
  </r>
  <r>
    <d v="2021-02-27T00:00:00"/>
    <d v="2021-02-28T00:00:00"/>
    <n v="2021"/>
    <x v="3"/>
    <x v="1"/>
    <n v="5279.91"/>
    <n v="3214.87"/>
    <n v="77"/>
    <n v="2.4700000000000002"/>
    <n v="2065.04"/>
  </r>
  <r>
    <d v="2021-02-28T00:00:00"/>
    <d v="2021-02-28T00:00:00"/>
    <n v="2021"/>
    <x v="2"/>
    <x v="0"/>
    <n v="4330.3500000000004"/>
    <n v="4222.7700000000004"/>
    <n v="17"/>
    <n v="1.73"/>
    <n v="107.57999999999993"/>
  </r>
  <r>
    <d v="2021-03-01T00:00:00"/>
    <d v="2021-03-31T00:00:00"/>
    <n v="2021"/>
    <x v="3"/>
    <x v="3"/>
    <n v="5291.13"/>
    <n v="3406.27"/>
    <n v="11"/>
    <n v="2.74"/>
    <n v="1884.8600000000001"/>
  </r>
  <r>
    <d v="2021-03-02T00:00:00"/>
    <d v="2021-03-31T00:00:00"/>
    <n v="2021"/>
    <x v="4"/>
    <x v="3"/>
    <n v="6610.45"/>
    <n v="3430.64"/>
    <n v="95"/>
    <n v="2.33"/>
    <n v="3179.81"/>
  </r>
  <r>
    <d v="2021-03-03T00:00:00"/>
    <d v="2021-03-31T00:00:00"/>
    <n v="2021"/>
    <x v="1"/>
    <x v="1"/>
    <n v="3460.23"/>
    <n v="3858.01"/>
    <n v="50"/>
    <n v="2.37"/>
    <n v="-397.7800000000002"/>
  </r>
  <r>
    <d v="2021-03-04T00:00:00"/>
    <d v="2021-03-31T00:00:00"/>
    <n v="2021"/>
    <x v="1"/>
    <x v="2"/>
    <n v="5199.45"/>
    <n v="2708.04"/>
    <n v="64"/>
    <n v="3.96"/>
    <n v="2491.41"/>
  </r>
  <r>
    <d v="2021-03-05T00:00:00"/>
    <d v="2021-03-31T00:00:00"/>
    <n v="2021"/>
    <x v="0"/>
    <x v="2"/>
    <n v="3949.82"/>
    <n v="2328.63"/>
    <n v="25"/>
    <n v="1.89"/>
    <n v="1621.19"/>
  </r>
  <r>
    <d v="2021-03-06T00:00:00"/>
    <d v="2021-03-31T00:00:00"/>
    <n v="2021"/>
    <x v="3"/>
    <x v="0"/>
    <n v="6792.57"/>
    <n v="2164.15"/>
    <n v="71"/>
    <n v="3.57"/>
    <n v="4628.42"/>
  </r>
  <r>
    <d v="2021-03-07T00:00:00"/>
    <d v="2021-03-31T00:00:00"/>
    <n v="2021"/>
    <x v="4"/>
    <x v="1"/>
    <n v="2715.22"/>
    <n v="1426.91"/>
    <n v="57"/>
    <n v="3.28"/>
    <n v="1288.3099999999997"/>
  </r>
  <r>
    <d v="2021-03-08T00:00:00"/>
    <d v="2021-03-31T00:00:00"/>
    <n v="2021"/>
    <x v="0"/>
    <x v="2"/>
    <n v="4161.62"/>
    <n v="4644.97"/>
    <n v="39"/>
    <n v="3.27"/>
    <n v="-483.35000000000036"/>
  </r>
  <r>
    <d v="2021-03-09T00:00:00"/>
    <d v="2021-03-31T00:00:00"/>
    <n v="2021"/>
    <x v="2"/>
    <x v="1"/>
    <n v="5565.82"/>
    <n v="2117.4299999999998"/>
    <n v="21"/>
    <n v="3.65"/>
    <n v="3448.39"/>
  </r>
  <r>
    <d v="2021-03-10T00:00:00"/>
    <d v="2021-03-31T00:00:00"/>
    <n v="2021"/>
    <x v="0"/>
    <x v="2"/>
    <n v="7348.29"/>
    <n v="2823"/>
    <n v="44"/>
    <n v="3.19"/>
    <n v="4525.29"/>
  </r>
  <r>
    <d v="2021-03-11T00:00:00"/>
    <d v="2021-03-31T00:00:00"/>
    <n v="2021"/>
    <x v="0"/>
    <x v="3"/>
    <n v="4901.37"/>
    <n v="2778.55"/>
    <n v="20"/>
    <n v="4.5199999999999996"/>
    <n v="2122.8199999999997"/>
  </r>
  <r>
    <d v="2021-03-12T00:00:00"/>
    <d v="2021-03-31T00:00:00"/>
    <n v="2021"/>
    <x v="3"/>
    <x v="2"/>
    <n v="4167.2"/>
    <n v="3245.93"/>
    <n v="73"/>
    <n v="3.7"/>
    <n v="921.27"/>
  </r>
  <r>
    <d v="2021-03-13T00:00:00"/>
    <d v="2021-03-31T00:00:00"/>
    <n v="2021"/>
    <x v="2"/>
    <x v="1"/>
    <n v="7821.74"/>
    <n v="3652.59"/>
    <n v="59"/>
    <n v="3.19"/>
    <n v="4169.1499999999996"/>
  </r>
  <r>
    <d v="2021-03-14T00:00:00"/>
    <d v="2021-03-31T00:00:00"/>
    <n v="2021"/>
    <x v="0"/>
    <x v="3"/>
    <n v="2827.98"/>
    <n v="3688.38"/>
    <n v="94"/>
    <n v="4.32"/>
    <n v="-860.40000000000009"/>
  </r>
  <r>
    <d v="2021-03-15T00:00:00"/>
    <d v="2021-03-31T00:00:00"/>
    <n v="2021"/>
    <x v="4"/>
    <x v="3"/>
    <n v="1701.79"/>
    <n v="2533.54"/>
    <n v="30"/>
    <n v="3.42"/>
    <n v="-831.75"/>
  </r>
  <r>
    <d v="2021-03-16T00:00:00"/>
    <d v="2021-03-31T00:00:00"/>
    <n v="2021"/>
    <x v="4"/>
    <x v="3"/>
    <n v="5660.02"/>
    <n v="2866.3"/>
    <n v="78"/>
    <n v="2.16"/>
    <n v="2793.7200000000003"/>
  </r>
  <r>
    <d v="2021-03-17T00:00:00"/>
    <d v="2021-03-31T00:00:00"/>
    <n v="2021"/>
    <x v="1"/>
    <x v="1"/>
    <n v="4246.92"/>
    <n v="3226.06"/>
    <n v="57"/>
    <n v="1.83"/>
    <n v="1020.8600000000001"/>
  </r>
  <r>
    <d v="2021-03-18T00:00:00"/>
    <d v="2021-03-31T00:00:00"/>
    <n v="2021"/>
    <x v="2"/>
    <x v="0"/>
    <n v="3468.15"/>
    <n v="2801.05"/>
    <n v="29"/>
    <n v="1.61"/>
    <n v="667.09999999999991"/>
  </r>
  <r>
    <d v="2021-03-19T00:00:00"/>
    <d v="2021-03-31T00:00:00"/>
    <n v="2021"/>
    <x v="2"/>
    <x v="0"/>
    <n v="6062.53"/>
    <n v="4285.88"/>
    <n v="76"/>
    <n v="4.5999999999999996"/>
    <n v="1776.6499999999996"/>
  </r>
  <r>
    <d v="2021-03-20T00:00:00"/>
    <d v="2021-03-31T00:00:00"/>
    <n v="2021"/>
    <x v="1"/>
    <x v="0"/>
    <n v="5365.7"/>
    <n v="3392.78"/>
    <n v="53"/>
    <n v="3.84"/>
    <n v="1972.9199999999996"/>
  </r>
  <r>
    <d v="2021-03-21T00:00:00"/>
    <d v="2021-03-31T00:00:00"/>
    <n v="2021"/>
    <x v="0"/>
    <x v="1"/>
    <n v="4153.88"/>
    <n v="3587.9"/>
    <n v="42"/>
    <n v="4.75"/>
    <n v="565.98"/>
  </r>
  <r>
    <d v="2021-03-22T00:00:00"/>
    <d v="2021-03-31T00:00:00"/>
    <n v="2021"/>
    <x v="2"/>
    <x v="3"/>
    <n v="3079.54"/>
    <n v="3530.31"/>
    <n v="82"/>
    <n v="3.41"/>
    <n v="-450.77"/>
  </r>
  <r>
    <d v="2021-03-23T00:00:00"/>
    <d v="2021-03-31T00:00:00"/>
    <n v="2021"/>
    <x v="4"/>
    <x v="0"/>
    <n v="6308.69"/>
    <n v="3938.78"/>
    <n v="70"/>
    <n v="2.89"/>
    <n v="2369.9099999999994"/>
  </r>
  <r>
    <d v="2021-03-24T00:00:00"/>
    <d v="2021-03-31T00:00:00"/>
    <n v="2021"/>
    <x v="4"/>
    <x v="1"/>
    <n v="5975.3"/>
    <n v="3144.82"/>
    <n v="18"/>
    <n v="1.24"/>
    <n v="2830.48"/>
  </r>
  <r>
    <d v="2021-03-25T00:00:00"/>
    <d v="2021-03-31T00:00:00"/>
    <n v="2021"/>
    <x v="3"/>
    <x v="0"/>
    <n v="4851.24"/>
    <n v="1962.53"/>
    <n v="77"/>
    <n v="3.69"/>
    <n v="2888.71"/>
  </r>
  <r>
    <d v="2021-03-26T00:00:00"/>
    <d v="2021-03-31T00:00:00"/>
    <n v="2021"/>
    <x v="2"/>
    <x v="2"/>
    <n v="7769.96"/>
    <n v="3319.75"/>
    <n v="44"/>
    <n v="3.33"/>
    <n v="4450.21"/>
  </r>
  <r>
    <d v="2021-03-27T00:00:00"/>
    <d v="2021-03-31T00:00:00"/>
    <n v="2021"/>
    <x v="0"/>
    <x v="0"/>
    <n v="3394.87"/>
    <n v="2478.91"/>
    <n v="90"/>
    <n v="4.96"/>
    <n v="915.96"/>
  </r>
  <r>
    <d v="2021-03-28T00:00:00"/>
    <d v="2021-03-31T00:00:00"/>
    <n v="2021"/>
    <x v="1"/>
    <x v="0"/>
    <n v="2711.71"/>
    <n v="2577.11"/>
    <n v="97"/>
    <n v="1.96"/>
    <n v="134.59999999999991"/>
  </r>
  <r>
    <d v="2021-03-29T00:00:00"/>
    <d v="2021-03-31T00:00:00"/>
    <n v="2021"/>
    <x v="1"/>
    <x v="3"/>
    <n v="3962.14"/>
    <n v="3469.09"/>
    <n v="74"/>
    <n v="3.12"/>
    <n v="493.04999999999973"/>
  </r>
  <r>
    <d v="2021-03-30T00:00:00"/>
    <d v="2021-03-31T00:00:00"/>
    <n v="2021"/>
    <x v="0"/>
    <x v="1"/>
    <n v="4931.62"/>
    <n v="3990.63"/>
    <n v="17"/>
    <n v="3.6"/>
    <n v="940.98999999999978"/>
  </r>
  <r>
    <d v="2021-03-31T00:00:00"/>
    <d v="2021-03-31T00:00:00"/>
    <n v="2021"/>
    <x v="3"/>
    <x v="3"/>
    <n v="5365.01"/>
    <n v="3017.02"/>
    <n v="54"/>
    <n v="3.58"/>
    <n v="2347.9900000000002"/>
  </r>
  <r>
    <d v="2021-04-01T00:00:00"/>
    <d v="2021-04-30T00:00:00"/>
    <n v="2021"/>
    <x v="1"/>
    <x v="3"/>
    <n v="4638.1499999999996"/>
    <n v="3247.07"/>
    <n v="96"/>
    <n v="3.25"/>
    <n v="1391.0799999999995"/>
  </r>
  <r>
    <d v="2021-04-02T00:00:00"/>
    <d v="2021-04-30T00:00:00"/>
    <n v="2021"/>
    <x v="2"/>
    <x v="3"/>
    <n v="5528.08"/>
    <n v="4361.7700000000004"/>
    <n v="56"/>
    <n v="4.1100000000000003"/>
    <n v="1166.3099999999995"/>
  </r>
  <r>
    <d v="2021-04-03T00:00:00"/>
    <d v="2021-04-30T00:00:00"/>
    <n v="2021"/>
    <x v="3"/>
    <x v="3"/>
    <n v="3122.69"/>
    <n v="3192.6"/>
    <n v="49"/>
    <n v="1.82"/>
    <n v="-69.909999999999854"/>
  </r>
  <r>
    <d v="2021-04-04T00:00:00"/>
    <d v="2021-04-30T00:00:00"/>
    <n v="2021"/>
    <x v="2"/>
    <x v="3"/>
    <n v="7165.65"/>
    <n v="5081.3500000000004"/>
    <n v="85"/>
    <n v="3.9"/>
    <n v="2084.2999999999993"/>
  </r>
  <r>
    <d v="2021-04-05T00:00:00"/>
    <d v="2021-04-30T00:00:00"/>
    <n v="2021"/>
    <x v="4"/>
    <x v="0"/>
    <n v="4876.7700000000004"/>
    <n v="3452.41"/>
    <n v="63"/>
    <n v="3.48"/>
    <n v="1424.3600000000006"/>
  </r>
  <r>
    <d v="2021-04-06T00:00:00"/>
    <d v="2021-04-30T00:00:00"/>
    <n v="2021"/>
    <x v="3"/>
    <x v="3"/>
    <n v="6675.94"/>
    <n v="1591.39"/>
    <n v="85"/>
    <n v="4.58"/>
    <n v="5084.5499999999993"/>
  </r>
  <r>
    <d v="2021-04-07T00:00:00"/>
    <d v="2021-04-30T00:00:00"/>
    <n v="2021"/>
    <x v="1"/>
    <x v="3"/>
    <n v="5514.09"/>
    <n v="3602.67"/>
    <n v="55"/>
    <n v="4.3899999999999997"/>
    <n v="1911.42"/>
  </r>
  <r>
    <d v="2021-04-08T00:00:00"/>
    <d v="2021-04-30T00:00:00"/>
    <n v="2021"/>
    <x v="3"/>
    <x v="1"/>
    <n v="5685.13"/>
    <n v="3304.93"/>
    <n v="56"/>
    <n v="2.2599999999999998"/>
    <n v="2380.2000000000003"/>
  </r>
  <r>
    <d v="2021-04-09T00:00:00"/>
    <d v="2021-04-30T00:00:00"/>
    <n v="2021"/>
    <x v="3"/>
    <x v="2"/>
    <n v="5854.65"/>
    <n v="4031.8"/>
    <n v="24"/>
    <n v="2.1"/>
    <n v="1822.8499999999995"/>
  </r>
  <r>
    <d v="2021-04-10T00:00:00"/>
    <d v="2021-04-30T00:00:00"/>
    <n v="2021"/>
    <x v="3"/>
    <x v="0"/>
    <n v="5671.56"/>
    <n v="3538.55"/>
    <n v="28"/>
    <n v="4.93"/>
    <n v="2133.0100000000002"/>
  </r>
  <r>
    <d v="2021-04-11T00:00:00"/>
    <d v="2021-04-30T00:00:00"/>
    <n v="2021"/>
    <x v="3"/>
    <x v="0"/>
    <n v="5964.08"/>
    <n v="2889.24"/>
    <n v="35"/>
    <n v="3.11"/>
    <n v="3074.84"/>
  </r>
  <r>
    <d v="2021-04-12T00:00:00"/>
    <d v="2021-04-30T00:00:00"/>
    <n v="2021"/>
    <x v="2"/>
    <x v="0"/>
    <n v="6993.73"/>
    <n v="2020.56"/>
    <n v="61"/>
    <n v="4.63"/>
    <n v="4973.17"/>
  </r>
  <r>
    <d v="2021-04-13T00:00:00"/>
    <d v="2021-04-30T00:00:00"/>
    <n v="2021"/>
    <x v="4"/>
    <x v="3"/>
    <n v="5294.78"/>
    <n v="2832.78"/>
    <n v="31"/>
    <n v="1.66"/>
    <n v="2461.9999999999995"/>
  </r>
  <r>
    <d v="2021-04-14T00:00:00"/>
    <d v="2021-04-30T00:00:00"/>
    <n v="2021"/>
    <x v="0"/>
    <x v="3"/>
    <n v="6063.51"/>
    <n v="2319.58"/>
    <n v="30"/>
    <n v="3.57"/>
    <n v="3743.9300000000003"/>
  </r>
  <r>
    <d v="2021-04-15T00:00:00"/>
    <d v="2021-04-30T00:00:00"/>
    <n v="2021"/>
    <x v="3"/>
    <x v="3"/>
    <n v="4865.3999999999996"/>
    <n v="2535.58"/>
    <n v="60"/>
    <n v="4.24"/>
    <n v="2329.8199999999997"/>
  </r>
  <r>
    <d v="2021-04-16T00:00:00"/>
    <d v="2021-04-30T00:00:00"/>
    <n v="2021"/>
    <x v="1"/>
    <x v="1"/>
    <n v="7160.18"/>
    <n v="3470.86"/>
    <n v="47"/>
    <n v="4.79"/>
    <n v="3689.32"/>
  </r>
  <r>
    <d v="2021-04-17T00:00:00"/>
    <d v="2021-04-30T00:00:00"/>
    <n v="2021"/>
    <x v="3"/>
    <x v="2"/>
    <n v="3985.41"/>
    <n v="4335.92"/>
    <n v="29"/>
    <n v="2.35"/>
    <n v="-350.51000000000022"/>
  </r>
  <r>
    <d v="2021-04-18T00:00:00"/>
    <d v="2021-04-30T00:00:00"/>
    <n v="2021"/>
    <x v="1"/>
    <x v="3"/>
    <n v="7701.41"/>
    <n v="3315.74"/>
    <n v="38"/>
    <n v="3.9"/>
    <n v="4385.67"/>
  </r>
  <r>
    <d v="2021-04-19T00:00:00"/>
    <d v="2021-04-30T00:00:00"/>
    <n v="2021"/>
    <x v="2"/>
    <x v="2"/>
    <n v="4939.76"/>
    <n v="2043.29"/>
    <n v="60"/>
    <n v="3.16"/>
    <n v="2896.4700000000003"/>
  </r>
  <r>
    <d v="2021-04-20T00:00:00"/>
    <d v="2021-04-30T00:00:00"/>
    <n v="2021"/>
    <x v="1"/>
    <x v="1"/>
    <n v="2853.84"/>
    <n v="3355.68"/>
    <n v="13"/>
    <n v="1.24"/>
    <n v="-501.83999999999969"/>
  </r>
  <r>
    <d v="2021-04-21T00:00:00"/>
    <d v="2021-04-30T00:00:00"/>
    <n v="2021"/>
    <x v="0"/>
    <x v="0"/>
    <n v="5192.16"/>
    <n v="3957.31"/>
    <n v="64"/>
    <n v="3.76"/>
    <n v="1234.8499999999999"/>
  </r>
  <r>
    <d v="2021-04-22T00:00:00"/>
    <d v="2021-04-30T00:00:00"/>
    <n v="2021"/>
    <x v="4"/>
    <x v="3"/>
    <n v="3978.42"/>
    <n v="2512.17"/>
    <n v="80"/>
    <n v="3.76"/>
    <n v="1466.25"/>
  </r>
  <r>
    <d v="2021-04-23T00:00:00"/>
    <d v="2021-04-30T00:00:00"/>
    <n v="2021"/>
    <x v="1"/>
    <x v="2"/>
    <n v="6260.97"/>
    <n v="2892.79"/>
    <n v="37"/>
    <n v="4.72"/>
    <n v="3368.1800000000003"/>
  </r>
  <r>
    <d v="2021-04-24T00:00:00"/>
    <d v="2021-04-30T00:00:00"/>
    <n v="2021"/>
    <x v="1"/>
    <x v="2"/>
    <n v="4021.06"/>
    <n v="3011.75"/>
    <n v="13"/>
    <n v="2.99"/>
    <n v="1009.31"/>
  </r>
  <r>
    <d v="2021-04-25T00:00:00"/>
    <d v="2021-04-30T00:00:00"/>
    <n v="2021"/>
    <x v="4"/>
    <x v="3"/>
    <n v="4330.72"/>
    <n v="2372.08"/>
    <n v="31"/>
    <n v="1.92"/>
    <n v="1958.6400000000003"/>
  </r>
  <r>
    <d v="2021-04-26T00:00:00"/>
    <d v="2021-04-30T00:00:00"/>
    <n v="2021"/>
    <x v="0"/>
    <x v="0"/>
    <n v="2165.69"/>
    <n v="3518.62"/>
    <n v="85"/>
    <n v="1.18"/>
    <n v="-1352.9299999999998"/>
  </r>
  <r>
    <d v="2021-04-27T00:00:00"/>
    <d v="2021-04-30T00:00:00"/>
    <n v="2021"/>
    <x v="3"/>
    <x v="0"/>
    <n v="4321.54"/>
    <n v="2903.24"/>
    <n v="54"/>
    <n v="2.66"/>
    <n v="1418.3000000000002"/>
  </r>
  <r>
    <d v="2021-04-28T00:00:00"/>
    <d v="2021-04-30T00:00:00"/>
    <n v="2021"/>
    <x v="1"/>
    <x v="0"/>
    <n v="1364.18"/>
    <n v="3335.63"/>
    <n v="76"/>
    <n v="2.21"/>
    <n v="-1971.45"/>
  </r>
  <r>
    <d v="2021-04-29T00:00:00"/>
    <d v="2021-04-30T00:00:00"/>
    <n v="2021"/>
    <x v="4"/>
    <x v="1"/>
    <n v="2624.15"/>
    <n v="2290.0100000000002"/>
    <n v="95"/>
    <n v="4.04"/>
    <n v="334.13999999999987"/>
  </r>
  <r>
    <d v="2021-04-30T00:00:00"/>
    <d v="2021-04-30T00:00:00"/>
    <n v="2021"/>
    <x v="2"/>
    <x v="2"/>
    <n v="6140.62"/>
    <n v="2650.03"/>
    <n v="75"/>
    <n v="2.42"/>
    <n v="3490.5899999999997"/>
  </r>
  <r>
    <d v="2021-05-01T00:00:00"/>
    <d v="2021-05-31T00:00:00"/>
    <n v="2021"/>
    <x v="4"/>
    <x v="2"/>
    <n v="6178.7"/>
    <n v="3577.91"/>
    <n v="97"/>
    <n v="4.8"/>
    <n v="2600.79"/>
  </r>
  <r>
    <d v="2021-05-02T00:00:00"/>
    <d v="2021-05-31T00:00:00"/>
    <n v="2021"/>
    <x v="2"/>
    <x v="2"/>
    <n v="5638.19"/>
    <n v="2701.73"/>
    <n v="43"/>
    <n v="4.8499999999999996"/>
    <n v="2936.4599999999996"/>
  </r>
  <r>
    <d v="2021-05-03T00:00:00"/>
    <d v="2021-05-31T00:00:00"/>
    <n v="2021"/>
    <x v="0"/>
    <x v="1"/>
    <n v="3549.54"/>
    <n v="4381.57"/>
    <n v="64"/>
    <n v="3.48"/>
    <n v="-832.02999999999975"/>
  </r>
  <r>
    <d v="2021-05-04T00:00:00"/>
    <d v="2021-05-31T00:00:00"/>
    <n v="2021"/>
    <x v="3"/>
    <x v="2"/>
    <n v="4928.43"/>
    <n v="2680.29"/>
    <n v="10"/>
    <n v="4.71"/>
    <n v="2248.1400000000003"/>
  </r>
  <r>
    <d v="2021-05-05T00:00:00"/>
    <d v="2021-05-31T00:00:00"/>
    <n v="2021"/>
    <x v="4"/>
    <x v="1"/>
    <n v="4994.6000000000004"/>
    <n v="3179.75"/>
    <n v="81"/>
    <n v="4.04"/>
    <n v="1814.8500000000004"/>
  </r>
  <r>
    <d v="2021-05-06T00:00:00"/>
    <d v="2021-05-31T00:00:00"/>
    <n v="2021"/>
    <x v="1"/>
    <x v="0"/>
    <n v="3262.45"/>
    <n v="3746.07"/>
    <n v="96"/>
    <n v="3.19"/>
    <n v="-483.62000000000035"/>
  </r>
  <r>
    <d v="2021-05-07T00:00:00"/>
    <d v="2021-05-31T00:00:00"/>
    <n v="2021"/>
    <x v="0"/>
    <x v="3"/>
    <n v="7255.1"/>
    <n v="1865.31"/>
    <n v="47"/>
    <n v="1.72"/>
    <n v="5389.7900000000009"/>
  </r>
  <r>
    <d v="2021-05-08T00:00:00"/>
    <d v="2021-05-31T00:00:00"/>
    <n v="2021"/>
    <x v="4"/>
    <x v="2"/>
    <n v="6316.04"/>
    <n v="1591.35"/>
    <n v="15"/>
    <n v="2.83"/>
    <n v="4724.6900000000005"/>
  </r>
  <r>
    <d v="2021-05-09T00:00:00"/>
    <d v="2021-05-31T00:00:00"/>
    <n v="2021"/>
    <x v="1"/>
    <x v="2"/>
    <n v="4668.55"/>
    <n v="1779.47"/>
    <n v="95"/>
    <n v="3.24"/>
    <n v="2889.08"/>
  </r>
  <r>
    <d v="2021-05-10T00:00:00"/>
    <d v="2021-05-31T00:00:00"/>
    <n v="2021"/>
    <x v="4"/>
    <x v="0"/>
    <n v="5040.33"/>
    <n v="4010.07"/>
    <n v="34"/>
    <n v="4.46"/>
    <n v="1030.2599999999998"/>
  </r>
  <r>
    <d v="2021-05-11T00:00:00"/>
    <d v="2021-05-31T00:00:00"/>
    <n v="2021"/>
    <x v="2"/>
    <x v="3"/>
    <n v="5312.57"/>
    <n v="2558.5100000000002"/>
    <n v="91"/>
    <n v="2.93"/>
    <n v="2754.0599999999995"/>
  </r>
  <r>
    <d v="2021-05-12T00:00:00"/>
    <d v="2021-05-31T00:00:00"/>
    <n v="2021"/>
    <x v="4"/>
    <x v="1"/>
    <n v="1937.4"/>
    <n v="5046.5600000000004"/>
    <n v="26"/>
    <n v="4.59"/>
    <n v="-3109.1600000000003"/>
  </r>
  <r>
    <d v="2021-05-13T00:00:00"/>
    <d v="2021-05-31T00:00:00"/>
    <n v="2021"/>
    <x v="4"/>
    <x v="3"/>
    <n v="4629.2299999999996"/>
    <n v="2548.6"/>
    <n v="70"/>
    <n v="3.7"/>
    <n v="2080.6299999999997"/>
  </r>
  <r>
    <d v="2021-05-14T00:00:00"/>
    <d v="2021-05-31T00:00:00"/>
    <n v="2021"/>
    <x v="4"/>
    <x v="0"/>
    <n v="3977.02"/>
    <n v="3147.64"/>
    <n v="21"/>
    <n v="1.55"/>
    <n v="829.38000000000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129A3-D873-480D-B8FA-9D6A9BA069E8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roduct">
  <location ref="C32:F37" firstHeaderRow="0" firstDataRow="1" firstDataCol="1"/>
  <pivotFields count="10">
    <pivotField numFmtId="14" showAll="0"/>
    <pivotField numFmtId="14" showAll="0"/>
    <pivotField numFmtId="1"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numFmtId="164" showAll="0"/>
    <pivotField numFmtId="164" showAll="0"/>
    <pivotField showAll="0"/>
    <pivotField numFmtId="43" showAll="0"/>
    <pivotField dataField="1" numFmtId="43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5" baseField="0" baseItem="0"/>
    <dataField name="Total Profit" fld="9" baseField="0" baseItem="0"/>
    <dataField name="% Profit" fld="9" showDataAs="percentOfCol" baseField="0" baseItem="0" numFmtId="10"/>
  </dataFields>
  <formats count="23"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2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field="4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4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field="4" type="button" dataOnly="0" labelOnly="1" outline="0" axis="axisRow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</chartFormats>
  <pivotTableStyleInfo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23392-6F21-423D-ACAD-96D872788268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Region">
  <location ref="J31:M37" firstHeaderRow="0" firstDataRow="1" firstDataCol="1"/>
  <pivotFields count="10">
    <pivotField numFmtId="14" showAll="0"/>
    <pivotField numFmtId="14" showAll="0"/>
    <pivotField numFmtId="1"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numFmtId="164" showAll="0"/>
    <pivotField numFmtId="164" showAll="0"/>
    <pivotField showAll="0"/>
    <pivotField numFmtId="43" showAll="0"/>
    <pivotField dataField="1" numFmtId="43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5" baseField="0" baseItem="0" numFmtId="165"/>
    <dataField name="Total Profit" fld="9" baseField="0" baseItem="0" numFmtId="165"/>
    <dataField name="% Profit" fld="9" showDataAs="percentOfTotal" baseField="0" baseItem="0" numFmtId="10"/>
  </dataFields>
  <formats count="31"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field="3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dataOnly="0" labelOnly="1" grandRow="1" outline="0" fieldPosition="0"/>
    </format>
    <format dxfId="36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5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4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">
      <pivotArea dataOnly="0" grandRow="1" fieldPosition="0"/>
    </format>
    <format dxfId="32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Row="1" outline="0" fieldPosition="0"/>
    </format>
    <format dxfId="27">
      <pivotArea field="3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collapsedLevelsAreSubtotals="1" fieldPosition="0">
        <references count="2">
          <reference field="4294967294" count="2" selected="0">
            <x v="0"/>
            <x v="1"/>
          </reference>
          <reference field="3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04"/>
  <sheetViews>
    <sheetView showGridLines="0" workbookViewId="0">
      <selection activeCell="L18" sqref="L18"/>
    </sheetView>
  </sheetViews>
  <sheetFormatPr defaultRowHeight="11.4" x14ac:dyDescent="0.2"/>
  <cols>
    <col min="1" max="1" width="3.44140625" style="1" customWidth="1"/>
    <col min="2" max="2" width="18.109375" style="2" bestFit="1" customWidth="1"/>
    <col min="3" max="3" width="18.109375" style="2" customWidth="1"/>
    <col min="4" max="4" width="18.109375" style="16" customWidth="1"/>
    <col min="5" max="5" width="13.5546875" style="1" bestFit="1" customWidth="1"/>
    <col min="6" max="6" width="9.33203125" style="1" bestFit="1" customWidth="1"/>
    <col min="7" max="8" width="9" style="3" bestFit="1" customWidth="1"/>
    <col min="9" max="9" width="9.6640625" style="1" bestFit="1" customWidth="1"/>
    <col min="10" max="10" width="20" style="4" bestFit="1" customWidth="1"/>
    <col min="11" max="11" width="8.6640625" style="4" bestFit="1" customWidth="1"/>
    <col min="12" max="16384" width="8.88671875" style="1"/>
  </cols>
  <sheetData>
    <row r="2" spans="2:12" ht="12" x14ac:dyDescent="0.25">
      <c r="B2" s="10" t="s">
        <v>17</v>
      </c>
    </row>
    <row r="4" spans="2:12" ht="12.6" thickBot="1" x14ac:dyDescent="0.3">
      <c r="B4" s="5" t="s">
        <v>0</v>
      </c>
      <c r="C4" s="5" t="s">
        <v>18</v>
      </c>
      <c r="D4" s="17" t="s">
        <v>22</v>
      </c>
      <c r="E4" s="6" t="s">
        <v>1</v>
      </c>
      <c r="F4" s="6" t="s">
        <v>2</v>
      </c>
      <c r="G4" s="7" t="s">
        <v>3</v>
      </c>
      <c r="H4" s="7" t="s">
        <v>4</v>
      </c>
      <c r="I4" s="6" t="s">
        <v>5</v>
      </c>
      <c r="J4" s="8" t="s">
        <v>6</v>
      </c>
      <c r="K4" s="8" t="s">
        <v>7</v>
      </c>
    </row>
    <row r="5" spans="2:12" x14ac:dyDescent="0.2">
      <c r="B5" s="2">
        <v>43831</v>
      </c>
      <c r="C5" s="2">
        <f>EOMONTH(B5,0)</f>
        <v>43861</v>
      </c>
      <c r="D5" s="16">
        <f>YEAR(B5)</f>
        <v>2020</v>
      </c>
      <c r="E5" s="1" t="s">
        <v>8</v>
      </c>
      <c r="F5" s="1" t="s">
        <v>13</v>
      </c>
      <c r="G5" s="3">
        <v>7284.69</v>
      </c>
      <c r="H5" s="3">
        <v>2198.6999999999998</v>
      </c>
      <c r="I5" s="1">
        <v>89</v>
      </c>
      <c r="J5" s="4">
        <v>3.42</v>
      </c>
      <c r="K5" s="4">
        <f>G5-H5</f>
        <v>5085.99</v>
      </c>
      <c r="L5" s="22"/>
    </row>
    <row r="6" spans="2:12" x14ac:dyDescent="0.2">
      <c r="B6" s="2">
        <v>43832</v>
      </c>
      <c r="C6" s="2">
        <f t="shared" ref="C6:C69" si="0">EOMONTH(B6,0)</f>
        <v>43861</v>
      </c>
      <c r="D6" s="16">
        <f t="shared" ref="D6:D69" si="1">YEAR(B6)</f>
        <v>2020</v>
      </c>
      <c r="E6" s="1" t="s">
        <v>9</v>
      </c>
      <c r="F6" s="1" t="s">
        <v>14</v>
      </c>
      <c r="G6" s="3">
        <v>5808.37</v>
      </c>
      <c r="H6" s="3">
        <v>2775.12</v>
      </c>
      <c r="I6" s="1">
        <v>67</v>
      </c>
      <c r="J6" s="4">
        <v>4.63</v>
      </c>
      <c r="K6" s="4">
        <f t="shared" ref="K6:K69" si="2">G6-H6</f>
        <v>3033.25</v>
      </c>
    </row>
    <row r="7" spans="2:12" x14ac:dyDescent="0.2">
      <c r="B7" s="2">
        <v>43833</v>
      </c>
      <c r="C7" s="2">
        <f t="shared" si="0"/>
        <v>43861</v>
      </c>
      <c r="D7" s="16">
        <f t="shared" si="1"/>
        <v>2020</v>
      </c>
      <c r="E7" s="1" t="s">
        <v>10</v>
      </c>
      <c r="F7" s="1" t="s">
        <v>14</v>
      </c>
      <c r="G7" s="3">
        <v>3444.13</v>
      </c>
      <c r="H7" s="3">
        <v>4438.1499999999996</v>
      </c>
      <c r="I7" s="1">
        <v>64</v>
      </c>
      <c r="J7" s="4">
        <v>1.96</v>
      </c>
      <c r="K7" s="4">
        <f t="shared" si="2"/>
        <v>-994.01999999999953</v>
      </c>
    </row>
    <row r="8" spans="2:12" x14ac:dyDescent="0.2">
      <c r="B8" s="2">
        <v>43834</v>
      </c>
      <c r="C8" s="2">
        <f t="shared" si="0"/>
        <v>43861</v>
      </c>
      <c r="D8" s="16">
        <f t="shared" si="1"/>
        <v>2020</v>
      </c>
      <c r="E8" s="1" t="s">
        <v>9</v>
      </c>
      <c r="F8" s="1" t="s">
        <v>15</v>
      </c>
      <c r="G8" s="3">
        <v>4714.49</v>
      </c>
      <c r="H8" s="3">
        <v>3512.67</v>
      </c>
      <c r="I8" s="1">
        <v>13</v>
      </c>
      <c r="J8" s="4">
        <v>2.88</v>
      </c>
      <c r="K8" s="4">
        <f t="shared" si="2"/>
        <v>1201.8199999999997</v>
      </c>
    </row>
    <row r="9" spans="2:12" x14ac:dyDescent="0.2">
      <c r="B9" s="2">
        <v>43835</v>
      </c>
      <c r="C9" s="2">
        <f t="shared" si="0"/>
        <v>43861</v>
      </c>
      <c r="D9" s="16">
        <f t="shared" si="1"/>
        <v>2020</v>
      </c>
      <c r="E9" s="1" t="s">
        <v>9</v>
      </c>
      <c r="F9" s="1" t="s">
        <v>13</v>
      </c>
      <c r="G9" s="3">
        <v>3686.57</v>
      </c>
      <c r="H9" s="3">
        <v>2543.06</v>
      </c>
      <c r="I9" s="1">
        <v>33</v>
      </c>
      <c r="J9" s="4">
        <v>2.8</v>
      </c>
      <c r="K9" s="4">
        <f t="shared" si="2"/>
        <v>1143.5100000000002</v>
      </c>
    </row>
    <row r="10" spans="2:12" x14ac:dyDescent="0.2">
      <c r="B10" s="2">
        <v>43836</v>
      </c>
      <c r="C10" s="2">
        <f t="shared" si="0"/>
        <v>43861</v>
      </c>
      <c r="D10" s="16">
        <f t="shared" si="1"/>
        <v>2020</v>
      </c>
      <c r="E10" s="1" t="s">
        <v>11</v>
      </c>
      <c r="F10" s="1" t="s">
        <v>15</v>
      </c>
      <c r="G10" s="3">
        <v>2925.8</v>
      </c>
      <c r="H10" s="3">
        <v>3458.07</v>
      </c>
      <c r="I10" s="1">
        <v>43</v>
      </c>
      <c r="J10" s="4">
        <v>2.89</v>
      </c>
      <c r="K10" s="4">
        <f t="shared" si="2"/>
        <v>-532.27</v>
      </c>
    </row>
    <row r="11" spans="2:12" x14ac:dyDescent="0.2">
      <c r="B11" s="2">
        <v>43837</v>
      </c>
      <c r="C11" s="2">
        <f t="shared" si="0"/>
        <v>43861</v>
      </c>
      <c r="D11" s="16">
        <f t="shared" si="1"/>
        <v>2020</v>
      </c>
      <c r="E11" s="1" t="s">
        <v>10</v>
      </c>
      <c r="F11" s="1" t="s">
        <v>16</v>
      </c>
      <c r="G11" s="3">
        <v>6389.27</v>
      </c>
      <c r="H11" s="3">
        <v>4119.4799999999996</v>
      </c>
      <c r="I11" s="1">
        <v>39</v>
      </c>
      <c r="J11" s="4">
        <v>3.49</v>
      </c>
      <c r="K11" s="4">
        <f t="shared" si="2"/>
        <v>2269.7900000000009</v>
      </c>
    </row>
    <row r="12" spans="2:12" x14ac:dyDescent="0.2">
      <c r="B12" s="2">
        <v>43838</v>
      </c>
      <c r="C12" s="2">
        <f t="shared" si="0"/>
        <v>43861</v>
      </c>
      <c r="D12" s="16">
        <f t="shared" si="1"/>
        <v>2020</v>
      </c>
      <c r="E12" s="1" t="s">
        <v>10</v>
      </c>
      <c r="F12" s="1" t="s">
        <v>16</v>
      </c>
      <c r="G12" s="3">
        <v>7864.12</v>
      </c>
      <c r="H12" s="3">
        <v>3739.71</v>
      </c>
      <c r="I12" s="1">
        <v>91</v>
      </c>
      <c r="J12" s="4">
        <v>2.88</v>
      </c>
      <c r="K12" s="4">
        <f t="shared" si="2"/>
        <v>4124.41</v>
      </c>
    </row>
    <row r="13" spans="2:12" x14ac:dyDescent="0.2">
      <c r="B13" s="2">
        <v>43839</v>
      </c>
      <c r="C13" s="2">
        <f t="shared" si="0"/>
        <v>43861</v>
      </c>
      <c r="D13" s="16">
        <f t="shared" si="1"/>
        <v>2020</v>
      </c>
      <c r="E13" s="1" t="s">
        <v>10</v>
      </c>
      <c r="F13" s="1" t="s">
        <v>15</v>
      </c>
      <c r="G13" s="3">
        <v>2902.15</v>
      </c>
      <c r="H13" s="3">
        <v>3047.7</v>
      </c>
      <c r="I13" s="1">
        <v>28</v>
      </c>
      <c r="J13" s="4">
        <v>2.79</v>
      </c>
      <c r="K13" s="4">
        <f t="shared" si="2"/>
        <v>-145.54999999999973</v>
      </c>
    </row>
    <row r="14" spans="2:12" x14ac:dyDescent="0.2">
      <c r="B14" s="2">
        <v>43840</v>
      </c>
      <c r="C14" s="2">
        <f t="shared" si="0"/>
        <v>43861</v>
      </c>
      <c r="D14" s="16">
        <f t="shared" si="1"/>
        <v>2020</v>
      </c>
      <c r="E14" s="1" t="s">
        <v>9</v>
      </c>
      <c r="F14" s="1" t="s">
        <v>14</v>
      </c>
      <c r="G14" s="3">
        <v>5844.45</v>
      </c>
      <c r="H14" s="3">
        <v>2482.4499999999998</v>
      </c>
      <c r="I14" s="1">
        <v>40</v>
      </c>
      <c r="J14" s="4">
        <v>2.9</v>
      </c>
      <c r="K14" s="4">
        <f t="shared" si="2"/>
        <v>3362</v>
      </c>
    </row>
    <row r="15" spans="2:12" x14ac:dyDescent="0.2">
      <c r="B15" s="2">
        <v>43841</v>
      </c>
      <c r="C15" s="2">
        <f t="shared" si="0"/>
        <v>43861</v>
      </c>
      <c r="D15" s="16">
        <f t="shared" si="1"/>
        <v>2020</v>
      </c>
      <c r="E15" s="1" t="s">
        <v>8</v>
      </c>
      <c r="F15" s="1" t="s">
        <v>14</v>
      </c>
      <c r="G15" s="3">
        <v>4024.04</v>
      </c>
      <c r="H15" s="3">
        <v>3558.58</v>
      </c>
      <c r="I15" s="1">
        <v>69</v>
      </c>
      <c r="J15" s="4">
        <v>3.36</v>
      </c>
      <c r="K15" s="4">
        <f t="shared" si="2"/>
        <v>465.46000000000004</v>
      </c>
    </row>
    <row r="16" spans="2:12" x14ac:dyDescent="0.2">
      <c r="B16" s="2">
        <v>43842</v>
      </c>
      <c r="C16" s="2">
        <f t="shared" si="0"/>
        <v>43861</v>
      </c>
      <c r="D16" s="16">
        <f t="shared" si="1"/>
        <v>2020</v>
      </c>
      <c r="E16" s="1" t="s">
        <v>10</v>
      </c>
      <c r="F16" s="1" t="s">
        <v>15</v>
      </c>
      <c r="G16" s="3">
        <v>4269.3100000000004</v>
      </c>
      <c r="H16" s="3">
        <v>3314.79</v>
      </c>
      <c r="I16" s="1">
        <v>69</v>
      </c>
      <c r="J16" s="4">
        <v>3.15</v>
      </c>
      <c r="K16" s="4">
        <f t="shared" si="2"/>
        <v>954.52000000000044</v>
      </c>
    </row>
    <row r="17" spans="2:11" x14ac:dyDescent="0.2">
      <c r="B17" s="2">
        <v>43843</v>
      </c>
      <c r="C17" s="2">
        <f t="shared" si="0"/>
        <v>43861</v>
      </c>
      <c r="D17" s="16">
        <f t="shared" si="1"/>
        <v>2020</v>
      </c>
      <c r="E17" s="1" t="s">
        <v>9</v>
      </c>
      <c r="F17" s="1" t="s">
        <v>15</v>
      </c>
      <c r="G17" s="3">
        <v>4111.41</v>
      </c>
      <c r="H17" s="3">
        <v>3716.15</v>
      </c>
      <c r="I17" s="1">
        <v>28</v>
      </c>
      <c r="J17" s="4">
        <v>4.42</v>
      </c>
      <c r="K17" s="4">
        <f t="shared" si="2"/>
        <v>395.25999999999976</v>
      </c>
    </row>
    <row r="18" spans="2:11" x14ac:dyDescent="0.2">
      <c r="B18" s="2">
        <v>43844</v>
      </c>
      <c r="C18" s="2">
        <f t="shared" si="0"/>
        <v>43861</v>
      </c>
      <c r="D18" s="16">
        <f t="shared" si="1"/>
        <v>2020</v>
      </c>
      <c r="E18" s="1" t="s">
        <v>11</v>
      </c>
      <c r="F18" s="1" t="s">
        <v>16</v>
      </c>
      <c r="G18" s="3">
        <v>3704.01</v>
      </c>
      <c r="H18" s="3">
        <v>3508.14</v>
      </c>
      <c r="I18" s="1">
        <v>58</v>
      </c>
      <c r="J18" s="4">
        <v>1.2</v>
      </c>
      <c r="K18" s="4">
        <f t="shared" si="2"/>
        <v>195.87000000000035</v>
      </c>
    </row>
    <row r="19" spans="2:11" x14ac:dyDescent="0.2">
      <c r="B19" s="2">
        <v>43845</v>
      </c>
      <c r="C19" s="2">
        <f t="shared" si="0"/>
        <v>43861</v>
      </c>
      <c r="D19" s="16">
        <f t="shared" si="1"/>
        <v>2020</v>
      </c>
      <c r="E19" s="1" t="s">
        <v>8</v>
      </c>
      <c r="F19" s="1" t="s">
        <v>14</v>
      </c>
      <c r="G19" s="3">
        <v>5072.78</v>
      </c>
      <c r="H19" s="3">
        <v>3839.64</v>
      </c>
      <c r="I19" s="1">
        <v>72</v>
      </c>
      <c r="J19" s="4">
        <v>4.33</v>
      </c>
      <c r="K19" s="4">
        <f t="shared" si="2"/>
        <v>1233.1399999999999</v>
      </c>
    </row>
    <row r="20" spans="2:11" x14ac:dyDescent="0.2">
      <c r="B20" s="2">
        <v>43846</v>
      </c>
      <c r="C20" s="2">
        <f t="shared" si="0"/>
        <v>43861</v>
      </c>
      <c r="D20" s="16">
        <f t="shared" si="1"/>
        <v>2020</v>
      </c>
      <c r="E20" s="1" t="s">
        <v>11</v>
      </c>
      <c r="F20" s="1" t="s">
        <v>15</v>
      </c>
      <c r="G20" s="3">
        <v>3753.57</v>
      </c>
      <c r="H20" s="3">
        <v>2571.81</v>
      </c>
      <c r="I20" s="1">
        <v>92</v>
      </c>
      <c r="J20" s="4">
        <v>4.38</v>
      </c>
      <c r="K20" s="4">
        <f t="shared" si="2"/>
        <v>1181.7600000000002</v>
      </c>
    </row>
    <row r="21" spans="2:11" x14ac:dyDescent="0.2">
      <c r="B21" s="2">
        <v>43847</v>
      </c>
      <c r="C21" s="2">
        <f t="shared" si="0"/>
        <v>43861</v>
      </c>
      <c r="D21" s="16">
        <f t="shared" si="1"/>
        <v>2020</v>
      </c>
      <c r="E21" s="1" t="s">
        <v>8</v>
      </c>
      <c r="F21" s="1" t="s">
        <v>16</v>
      </c>
      <c r="G21" s="3">
        <v>5405.69</v>
      </c>
      <c r="H21" s="3">
        <v>4053.92</v>
      </c>
      <c r="I21" s="1">
        <v>31</v>
      </c>
      <c r="J21" s="4">
        <v>2.14</v>
      </c>
      <c r="K21" s="4">
        <f t="shared" si="2"/>
        <v>1351.7699999999995</v>
      </c>
    </row>
    <row r="22" spans="2:11" x14ac:dyDescent="0.2">
      <c r="B22" s="2">
        <v>43848</v>
      </c>
      <c r="C22" s="2">
        <f t="shared" si="0"/>
        <v>43861</v>
      </c>
      <c r="D22" s="16">
        <f t="shared" si="1"/>
        <v>2020</v>
      </c>
      <c r="E22" s="1" t="s">
        <v>9</v>
      </c>
      <c r="F22" s="1" t="s">
        <v>14</v>
      </c>
      <c r="G22" s="3">
        <v>4924.6400000000003</v>
      </c>
      <c r="H22" s="3">
        <v>3158.08</v>
      </c>
      <c r="I22" s="1">
        <v>33</v>
      </c>
      <c r="J22" s="4">
        <v>2.85</v>
      </c>
      <c r="K22" s="4">
        <f t="shared" si="2"/>
        <v>1766.5600000000004</v>
      </c>
    </row>
    <row r="23" spans="2:11" x14ac:dyDescent="0.2">
      <c r="B23" s="2">
        <v>43849</v>
      </c>
      <c r="C23" s="2">
        <f t="shared" si="0"/>
        <v>43861</v>
      </c>
      <c r="D23" s="16">
        <f t="shared" si="1"/>
        <v>2020</v>
      </c>
      <c r="E23" s="1" t="s">
        <v>12</v>
      </c>
      <c r="F23" s="1" t="s">
        <v>13</v>
      </c>
      <c r="G23" s="3">
        <v>4641.58</v>
      </c>
      <c r="H23" s="3">
        <v>4660.21</v>
      </c>
      <c r="I23" s="1">
        <v>85</v>
      </c>
      <c r="J23" s="4">
        <v>2.75</v>
      </c>
      <c r="K23" s="4">
        <f t="shared" si="2"/>
        <v>-18.630000000000109</v>
      </c>
    </row>
    <row r="24" spans="2:11" x14ac:dyDescent="0.2">
      <c r="B24" s="2">
        <v>43850</v>
      </c>
      <c r="C24" s="2">
        <f t="shared" si="0"/>
        <v>43861</v>
      </c>
      <c r="D24" s="16">
        <f t="shared" si="1"/>
        <v>2020</v>
      </c>
      <c r="E24" s="1" t="s">
        <v>8</v>
      </c>
      <c r="F24" s="1" t="s">
        <v>16</v>
      </c>
      <c r="G24" s="3">
        <v>3638.65</v>
      </c>
      <c r="H24" s="3">
        <v>2448.65</v>
      </c>
      <c r="I24" s="1">
        <v>39</v>
      </c>
      <c r="J24" s="4">
        <v>1.87</v>
      </c>
      <c r="K24" s="4">
        <f t="shared" si="2"/>
        <v>1190</v>
      </c>
    </row>
    <row r="25" spans="2:11" x14ac:dyDescent="0.2">
      <c r="B25" s="2">
        <v>43851</v>
      </c>
      <c r="C25" s="2">
        <f t="shared" si="0"/>
        <v>43861</v>
      </c>
      <c r="D25" s="16">
        <f t="shared" si="1"/>
        <v>2020</v>
      </c>
      <c r="E25" s="1" t="s">
        <v>11</v>
      </c>
      <c r="F25" s="1" t="s">
        <v>14</v>
      </c>
      <c r="G25" s="3">
        <v>4134.84</v>
      </c>
      <c r="H25" s="3">
        <v>4388.7700000000004</v>
      </c>
      <c r="I25" s="1">
        <v>67</v>
      </c>
      <c r="J25" s="4">
        <v>2.59</v>
      </c>
      <c r="K25" s="4">
        <f t="shared" si="2"/>
        <v>-253.93000000000029</v>
      </c>
    </row>
    <row r="26" spans="2:11" x14ac:dyDescent="0.2">
      <c r="B26" s="2">
        <v>43852</v>
      </c>
      <c r="C26" s="2">
        <f t="shared" si="0"/>
        <v>43861</v>
      </c>
      <c r="D26" s="16">
        <f t="shared" si="1"/>
        <v>2020</v>
      </c>
      <c r="E26" s="1" t="s">
        <v>9</v>
      </c>
      <c r="F26" s="1" t="s">
        <v>14</v>
      </c>
      <c r="G26" s="3">
        <v>6133.09</v>
      </c>
      <c r="H26" s="3">
        <v>3158.33</v>
      </c>
      <c r="I26" s="1">
        <v>40</v>
      </c>
      <c r="J26" s="4">
        <v>1.18</v>
      </c>
      <c r="K26" s="4">
        <f t="shared" si="2"/>
        <v>2974.76</v>
      </c>
    </row>
    <row r="27" spans="2:11" x14ac:dyDescent="0.2">
      <c r="B27" s="2">
        <v>43853</v>
      </c>
      <c r="C27" s="2">
        <f t="shared" si="0"/>
        <v>43861</v>
      </c>
      <c r="D27" s="16">
        <f t="shared" si="1"/>
        <v>2020</v>
      </c>
      <c r="E27" s="1" t="s">
        <v>8</v>
      </c>
      <c r="F27" s="1" t="s">
        <v>16</v>
      </c>
      <c r="G27" s="3">
        <v>5751.38</v>
      </c>
      <c r="H27" s="3">
        <v>2478.87</v>
      </c>
      <c r="I27" s="1">
        <v>73</v>
      </c>
      <c r="J27" s="4">
        <v>2.11</v>
      </c>
      <c r="K27" s="4">
        <f t="shared" si="2"/>
        <v>3272.51</v>
      </c>
    </row>
    <row r="28" spans="2:11" x14ac:dyDescent="0.2">
      <c r="B28" s="2">
        <v>43854</v>
      </c>
      <c r="C28" s="2">
        <f t="shared" si="0"/>
        <v>43861</v>
      </c>
      <c r="D28" s="16">
        <f t="shared" si="1"/>
        <v>2020</v>
      </c>
      <c r="E28" s="1" t="s">
        <v>12</v>
      </c>
      <c r="F28" s="1" t="s">
        <v>13</v>
      </c>
      <c r="G28" s="3">
        <v>3533.67</v>
      </c>
      <c r="H28" s="3">
        <v>2612.89</v>
      </c>
      <c r="I28" s="1">
        <v>28</v>
      </c>
      <c r="J28" s="4">
        <v>4.2699999999999996</v>
      </c>
      <c r="K28" s="4">
        <f t="shared" si="2"/>
        <v>920.7800000000002</v>
      </c>
    </row>
    <row r="29" spans="2:11" x14ac:dyDescent="0.2">
      <c r="B29" s="2">
        <v>43855</v>
      </c>
      <c r="C29" s="2">
        <f t="shared" si="0"/>
        <v>43861</v>
      </c>
      <c r="D29" s="16">
        <f t="shared" si="1"/>
        <v>2020</v>
      </c>
      <c r="E29" s="1" t="s">
        <v>12</v>
      </c>
      <c r="F29" s="1" t="s">
        <v>16</v>
      </c>
      <c r="G29" s="3">
        <v>5149</v>
      </c>
      <c r="H29" s="3">
        <v>2743.72</v>
      </c>
      <c r="I29" s="1">
        <v>57</v>
      </c>
      <c r="J29" s="4">
        <v>2.14</v>
      </c>
      <c r="K29" s="4">
        <f t="shared" si="2"/>
        <v>2405.2800000000002</v>
      </c>
    </row>
    <row r="30" spans="2:11" x14ac:dyDescent="0.2">
      <c r="B30" s="2">
        <v>43856</v>
      </c>
      <c r="C30" s="2">
        <f t="shared" si="0"/>
        <v>43861</v>
      </c>
      <c r="D30" s="16">
        <f t="shared" si="1"/>
        <v>2020</v>
      </c>
      <c r="E30" s="1" t="s">
        <v>10</v>
      </c>
      <c r="F30" s="1" t="s">
        <v>14</v>
      </c>
      <c r="G30" s="3">
        <v>6127.08</v>
      </c>
      <c r="H30" s="3">
        <v>3339.33</v>
      </c>
      <c r="I30" s="1">
        <v>54</v>
      </c>
      <c r="J30" s="4">
        <v>4.2699999999999996</v>
      </c>
      <c r="K30" s="4">
        <f t="shared" si="2"/>
        <v>2787.75</v>
      </c>
    </row>
    <row r="31" spans="2:11" x14ac:dyDescent="0.2">
      <c r="B31" s="2">
        <v>43857</v>
      </c>
      <c r="C31" s="2">
        <f t="shared" si="0"/>
        <v>43861</v>
      </c>
      <c r="D31" s="16">
        <f t="shared" si="1"/>
        <v>2020</v>
      </c>
      <c r="E31" s="1" t="s">
        <v>10</v>
      </c>
      <c r="F31" s="1" t="s">
        <v>15</v>
      </c>
      <c r="G31" s="3">
        <v>2495.89</v>
      </c>
      <c r="H31" s="3">
        <v>3418.27</v>
      </c>
      <c r="I31" s="1">
        <v>64</v>
      </c>
      <c r="J31" s="4">
        <v>3.13</v>
      </c>
      <c r="K31" s="4">
        <f t="shared" si="2"/>
        <v>-922.38000000000011</v>
      </c>
    </row>
    <row r="32" spans="2:11" x14ac:dyDescent="0.2">
      <c r="B32" s="2">
        <v>43858</v>
      </c>
      <c r="C32" s="2">
        <f t="shared" si="0"/>
        <v>43861</v>
      </c>
      <c r="D32" s="16">
        <f t="shared" si="1"/>
        <v>2020</v>
      </c>
      <c r="E32" s="1" t="s">
        <v>11</v>
      </c>
      <c r="F32" s="1" t="s">
        <v>15</v>
      </c>
      <c r="G32" s="3">
        <v>5815.04</v>
      </c>
      <c r="H32" s="3">
        <v>2541.04</v>
      </c>
      <c r="I32" s="1">
        <v>64</v>
      </c>
      <c r="J32" s="4">
        <v>4.5199999999999996</v>
      </c>
      <c r="K32" s="4">
        <f t="shared" si="2"/>
        <v>3274</v>
      </c>
    </row>
    <row r="33" spans="2:11" x14ac:dyDescent="0.2">
      <c r="B33" s="2">
        <v>43859</v>
      </c>
      <c r="C33" s="2">
        <f t="shared" si="0"/>
        <v>43861</v>
      </c>
      <c r="D33" s="16">
        <f t="shared" si="1"/>
        <v>2020</v>
      </c>
      <c r="E33" s="1" t="s">
        <v>8</v>
      </c>
      <c r="F33" s="1" t="s">
        <v>16</v>
      </c>
      <c r="G33" s="3">
        <v>4006.06</v>
      </c>
      <c r="H33" s="3">
        <v>2980.52</v>
      </c>
      <c r="I33" s="1">
        <v>27</v>
      </c>
      <c r="J33" s="4">
        <v>3.3</v>
      </c>
      <c r="K33" s="4">
        <f t="shared" si="2"/>
        <v>1025.54</v>
      </c>
    </row>
    <row r="34" spans="2:11" x14ac:dyDescent="0.2">
      <c r="B34" s="2">
        <v>43860</v>
      </c>
      <c r="C34" s="2">
        <f t="shared" si="0"/>
        <v>43861</v>
      </c>
      <c r="D34" s="16">
        <f t="shared" si="1"/>
        <v>2020</v>
      </c>
      <c r="E34" s="1" t="s">
        <v>8</v>
      </c>
      <c r="F34" s="1" t="s">
        <v>14</v>
      </c>
      <c r="G34" s="3">
        <v>5855.9</v>
      </c>
      <c r="H34" s="3">
        <v>4713.82</v>
      </c>
      <c r="I34" s="1">
        <v>72</v>
      </c>
      <c r="J34" s="4">
        <v>1.1200000000000001</v>
      </c>
      <c r="K34" s="4">
        <f t="shared" si="2"/>
        <v>1142.08</v>
      </c>
    </row>
    <row r="35" spans="2:11" x14ac:dyDescent="0.2">
      <c r="B35" s="2">
        <v>43861</v>
      </c>
      <c r="C35" s="2">
        <f t="shared" si="0"/>
        <v>43861</v>
      </c>
      <c r="D35" s="16">
        <f t="shared" si="1"/>
        <v>2020</v>
      </c>
      <c r="E35" s="1" t="s">
        <v>10</v>
      </c>
      <c r="F35" s="1" t="s">
        <v>15</v>
      </c>
      <c r="G35" s="3">
        <v>3855.11</v>
      </c>
      <c r="H35" s="3">
        <v>4382.03</v>
      </c>
      <c r="I35" s="1">
        <v>56</v>
      </c>
      <c r="J35" s="4">
        <v>3.7</v>
      </c>
      <c r="K35" s="4">
        <f t="shared" si="2"/>
        <v>-526.91999999999962</v>
      </c>
    </row>
    <row r="36" spans="2:11" x14ac:dyDescent="0.2">
      <c r="B36" s="2">
        <v>43862</v>
      </c>
      <c r="C36" s="2">
        <f t="shared" si="0"/>
        <v>43890</v>
      </c>
      <c r="D36" s="16">
        <f t="shared" si="1"/>
        <v>2020</v>
      </c>
      <c r="E36" s="1" t="s">
        <v>8</v>
      </c>
      <c r="F36" s="1" t="s">
        <v>14</v>
      </c>
      <c r="G36" s="3">
        <v>2292.6799999999998</v>
      </c>
      <c r="H36" s="3">
        <v>3349.06</v>
      </c>
      <c r="I36" s="1">
        <v>84</v>
      </c>
      <c r="J36" s="4">
        <v>1.18</v>
      </c>
      <c r="K36" s="4">
        <f t="shared" si="2"/>
        <v>-1056.3800000000001</v>
      </c>
    </row>
    <row r="37" spans="2:11" x14ac:dyDescent="0.2">
      <c r="B37" s="2">
        <v>43863</v>
      </c>
      <c r="C37" s="2">
        <f t="shared" si="0"/>
        <v>43890</v>
      </c>
      <c r="D37" s="16">
        <f t="shared" si="1"/>
        <v>2020</v>
      </c>
      <c r="E37" s="1" t="s">
        <v>8</v>
      </c>
      <c r="F37" s="1" t="s">
        <v>16</v>
      </c>
      <c r="G37" s="3">
        <v>2558.69</v>
      </c>
      <c r="H37" s="3">
        <v>3030.4</v>
      </c>
      <c r="I37" s="1">
        <v>66</v>
      </c>
      <c r="J37" s="4">
        <v>2.8</v>
      </c>
      <c r="K37" s="4">
        <f t="shared" si="2"/>
        <v>-471.71000000000004</v>
      </c>
    </row>
    <row r="38" spans="2:11" x14ac:dyDescent="0.2">
      <c r="B38" s="2">
        <v>43864</v>
      </c>
      <c r="C38" s="2">
        <f t="shared" si="0"/>
        <v>43890</v>
      </c>
      <c r="D38" s="16">
        <f t="shared" si="1"/>
        <v>2020</v>
      </c>
      <c r="E38" s="1" t="s">
        <v>12</v>
      </c>
      <c r="F38" s="1" t="s">
        <v>15</v>
      </c>
      <c r="G38" s="3">
        <v>5072.13</v>
      </c>
      <c r="H38" s="3">
        <v>3096.03</v>
      </c>
      <c r="I38" s="1">
        <v>54</v>
      </c>
      <c r="J38" s="4">
        <v>4.72</v>
      </c>
      <c r="K38" s="4">
        <f t="shared" si="2"/>
        <v>1976.1</v>
      </c>
    </row>
    <row r="39" spans="2:11" x14ac:dyDescent="0.2">
      <c r="B39" s="2">
        <v>43865</v>
      </c>
      <c r="C39" s="2">
        <f t="shared" si="0"/>
        <v>43890</v>
      </c>
      <c r="D39" s="16">
        <f t="shared" si="1"/>
        <v>2020</v>
      </c>
      <c r="E39" s="1" t="s">
        <v>10</v>
      </c>
      <c r="F39" s="1" t="s">
        <v>14</v>
      </c>
      <c r="G39" s="3">
        <v>5389.58</v>
      </c>
      <c r="H39" s="3">
        <v>3490.81</v>
      </c>
      <c r="I39" s="1">
        <v>42</v>
      </c>
      <c r="J39" s="4">
        <v>1.66</v>
      </c>
      <c r="K39" s="4">
        <f t="shared" si="2"/>
        <v>1898.77</v>
      </c>
    </row>
    <row r="40" spans="2:11" x14ac:dyDescent="0.2">
      <c r="B40" s="2">
        <v>43866</v>
      </c>
      <c r="C40" s="2">
        <f t="shared" si="0"/>
        <v>43890</v>
      </c>
      <c r="D40" s="16">
        <f t="shared" si="1"/>
        <v>2020</v>
      </c>
      <c r="E40" s="1" t="s">
        <v>9</v>
      </c>
      <c r="F40" s="1" t="s">
        <v>15</v>
      </c>
      <c r="G40" s="3">
        <v>3643.53</v>
      </c>
      <c r="H40" s="3">
        <v>2181.77</v>
      </c>
      <c r="I40" s="1">
        <v>26</v>
      </c>
      <c r="J40" s="4">
        <v>2.56</v>
      </c>
      <c r="K40" s="4">
        <f t="shared" si="2"/>
        <v>1461.7600000000002</v>
      </c>
    </row>
    <row r="41" spans="2:11" x14ac:dyDescent="0.2">
      <c r="B41" s="2">
        <v>43867</v>
      </c>
      <c r="C41" s="2">
        <f t="shared" si="0"/>
        <v>43890</v>
      </c>
      <c r="D41" s="16">
        <f t="shared" si="1"/>
        <v>2020</v>
      </c>
      <c r="E41" s="1" t="s">
        <v>10</v>
      </c>
      <c r="F41" s="1" t="s">
        <v>16</v>
      </c>
      <c r="G41" s="3">
        <v>5957.89</v>
      </c>
      <c r="H41" s="3">
        <v>2794.1</v>
      </c>
      <c r="I41" s="1">
        <v>79</v>
      </c>
      <c r="J41" s="4">
        <v>3.92</v>
      </c>
      <c r="K41" s="4">
        <f t="shared" si="2"/>
        <v>3163.7900000000004</v>
      </c>
    </row>
    <row r="42" spans="2:11" x14ac:dyDescent="0.2">
      <c r="B42" s="2">
        <v>43868</v>
      </c>
      <c r="C42" s="2">
        <f t="shared" si="0"/>
        <v>43890</v>
      </c>
      <c r="D42" s="16">
        <f t="shared" si="1"/>
        <v>2020</v>
      </c>
      <c r="E42" s="1" t="s">
        <v>9</v>
      </c>
      <c r="F42" s="1" t="s">
        <v>14</v>
      </c>
      <c r="G42" s="3">
        <v>2507.7199999999998</v>
      </c>
      <c r="H42" s="3">
        <v>1665.13</v>
      </c>
      <c r="I42" s="1">
        <v>13</v>
      </c>
      <c r="J42" s="4">
        <v>4.53</v>
      </c>
      <c r="K42" s="4">
        <f t="shared" si="2"/>
        <v>842.58999999999969</v>
      </c>
    </row>
    <row r="43" spans="2:11" x14ac:dyDescent="0.2">
      <c r="B43" s="2">
        <v>43869</v>
      </c>
      <c r="C43" s="2">
        <f t="shared" si="0"/>
        <v>43890</v>
      </c>
      <c r="D43" s="16">
        <f t="shared" si="1"/>
        <v>2020</v>
      </c>
      <c r="E43" s="1" t="s">
        <v>12</v>
      </c>
      <c r="F43" s="1" t="s">
        <v>15</v>
      </c>
      <c r="G43" s="3">
        <v>4900.88</v>
      </c>
      <c r="H43" s="3">
        <v>3319.38</v>
      </c>
      <c r="I43" s="1">
        <v>29</v>
      </c>
      <c r="J43" s="4">
        <v>3.68</v>
      </c>
      <c r="K43" s="4">
        <f t="shared" si="2"/>
        <v>1581.5</v>
      </c>
    </row>
    <row r="44" spans="2:11" x14ac:dyDescent="0.2">
      <c r="B44" s="2">
        <v>43870</v>
      </c>
      <c r="C44" s="2">
        <f t="shared" si="0"/>
        <v>43890</v>
      </c>
      <c r="D44" s="16">
        <f t="shared" si="1"/>
        <v>2020</v>
      </c>
      <c r="E44" s="1" t="s">
        <v>11</v>
      </c>
      <c r="F44" s="1" t="s">
        <v>16</v>
      </c>
      <c r="G44" s="3">
        <v>3183.48</v>
      </c>
      <c r="H44" s="3">
        <v>3517.76</v>
      </c>
      <c r="I44" s="1">
        <v>56</v>
      </c>
      <c r="J44" s="4">
        <v>2.0299999999999998</v>
      </c>
      <c r="K44" s="4">
        <f t="shared" si="2"/>
        <v>-334.2800000000002</v>
      </c>
    </row>
    <row r="45" spans="2:11" x14ac:dyDescent="0.2">
      <c r="B45" s="2">
        <v>43871</v>
      </c>
      <c r="C45" s="2">
        <f t="shared" si="0"/>
        <v>43890</v>
      </c>
      <c r="D45" s="16">
        <f t="shared" si="1"/>
        <v>2020</v>
      </c>
      <c r="E45" s="1" t="s">
        <v>8</v>
      </c>
      <c r="F45" s="1" t="s">
        <v>15</v>
      </c>
      <c r="G45" s="3">
        <v>4022.25</v>
      </c>
      <c r="H45" s="3">
        <v>2613.4499999999998</v>
      </c>
      <c r="I45" s="1">
        <v>24</v>
      </c>
      <c r="J45" s="4">
        <v>3.7</v>
      </c>
      <c r="K45" s="4">
        <f t="shared" si="2"/>
        <v>1408.8000000000002</v>
      </c>
    </row>
    <row r="46" spans="2:11" x14ac:dyDescent="0.2">
      <c r="B46" s="2">
        <v>43872</v>
      </c>
      <c r="C46" s="2">
        <f t="shared" si="0"/>
        <v>43890</v>
      </c>
      <c r="D46" s="16">
        <f t="shared" si="1"/>
        <v>2020</v>
      </c>
      <c r="E46" s="1" t="s">
        <v>12</v>
      </c>
      <c r="F46" s="1" t="s">
        <v>15</v>
      </c>
      <c r="G46" s="3">
        <v>5071.1000000000004</v>
      </c>
      <c r="H46" s="3">
        <v>4259.1899999999996</v>
      </c>
      <c r="I46" s="1">
        <v>79</v>
      </c>
      <c r="J46" s="4">
        <v>2.19</v>
      </c>
      <c r="K46" s="4">
        <f t="shared" si="2"/>
        <v>811.91000000000076</v>
      </c>
    </row>
    <row r="47" spans="2:11" x14ac:dyDescent="0.2">
      <c r="B47" s="2">
        <v>43873</v>
      </c>
      <c r="C47" s="2">
        <f t="shared" si="0"/>
        <v>43890</v>
      </c>
      <c r="D47" s="16">
        <f t="shared" si="1"/>
        <v>2020</v>
      </c>
      <c r="E47" s="1" t="s">
        <v>8</v>
      </c>
      <c r="F47" s="1" t="s">
        <v>13</v>
      </c>
      <c r="G47" s="3">
        <v>3709.38</v>
      </c>
      <c r="H47" s="3">
        <v>2019.39</v>
      </c>
      <c r="I47" s="1">
        <v>56</v>
      </c>
      <c r="J47" s="4">
        <v>3.87</v>
      </c>
      <c r="K47" s="4">
        <f t="shared" si="2"/>
        <v>1689.99</v>
      </c>
    </row>
    <row r="48" spans="2:11" x14ac:dyDescent="0.2">
      <c r="B48" s="2">
        <v>43874</v>
      </c>
      <c r="C48" s="2">
        <f t="shared" si="0"/>
        <v>43890</v>
      </c>
      <c r="D48" s="16">
        <f t="shared" si="1"/>
        <v>2020</v>
      </c>
      <c r="E48" s="1" t="s">
        <v>11</v>
      </c>
      <c r="F48" s="1" t="s">
        <v>13</v>
      </c>
      <c r="G48" s="3">
        <v>4423.17</v>
      </c>
      <c r="H48" s="3">
        <v>1828.5</v>
      </c>
      <c r="I48" s="1">
        <v>87</v>
      </c>
      <c r="J48" s="4">
        <v>4.82</v>
      </c>
      <c r="K48" s="4">
        <f t="shared" si="2"/>
        <v>2594.67</v>
      </c>
    </row>
    <row r="49" spans="2:11" x14ac:dyDescent="0.2">
      <c r="B49" s="2">
        <v>43875</v>
      </c>
      <c r="C49" s="2">
        <f t="shared" si="0"/>
        <v>43890</v>
      </c>
      <c r="D49" s="16">
        <f t="shared" si="1"/>
        <v>2020</v>
      </c>
      <c r="E49" s="1" t="s">
        <v>11</v>
      </c>
      <c r="F49" s="1" t="s">
        <v>16</v>
      </c>
      <c r="G49" s="3">
        <v>6509.44</v>
      </c>
      <c r="H49" s="3">
        <v>3179.56</v>
      </c>
      <c r="I49" s="1">
        <v>84</v>
      </c>
      <c r="J49" s="4">
        <v>3.89</v>
      </c>
      <c r="K49" s="4">
        <f t="shared" si="2"/>
        <v>3329.8799999999997</v>
      </c>
    </row>
    <row r="50" spans="2:11" x14ac:dyDescent="0.2">
      <c r="B50" s="2">
        <v>43876</v>
      </c>
      <c r="C50" s="2">
        <f t="shared" si="0"/>
        <v>43890</v>
      </c>
      <c r="D50" s="16">
        <f t="shared" si="1"/>
        <v>2020</v>
      </c>
      <c r="E50" s="1" t="s">
        <v>12</v>
      </c>
      <c r="F50" s="1" t="s">
        <v>13</v>
      </c>
      <c r="G50" s="3">
        <v>4134.66</v>
      </c>
      <c r="H50" s="3">
        <v>3837.68</v>
      </c>
      <c r="I50" s="1">
        <v>18</v>
      </c>
      <c r="J50" s="4">
        <v>4.45</v>
      </c>
      <c r="K50" s="4">
        <f t="shared" si="2"/>
        <v>296.98</v>
      </c>
    </row>
    <row r="51" spans="2:11" x14ac:dyDescent="0.2">
      <c r="B51" s="2">
        <v>43877</v>
      </c>
      <c r="C51" s="2">
        <f t="shared" si="0"/>
        <v>43890</v>
      </c>
      <c r="D51" s="16">
        <f t="shared" si="1"/>
        <v>2020</v>
      </c>
      <c r="E51" s="1" t="s">
        <v>11</v>
      </c>
      <c r="F51" s="1" t="s">
        <v>16</v>
      </c>
      <c r="G51" s="3">
        <v>6253.54</v>
      </c>
      <c r="H51" s="3">
        <v>4347.1400000000003</v>
      </c>
      <c r="I51" s="1">
        <v>99</v>
      </c>
      <c r="J51" s="4">
        <v>1.01</v>
      </c>
      <c r="K51" s="4">
        <f t="shared" si="2"/>
        <v>1906.3999999999996</v>
      </c>
    </row>
    <row r="52" spans="2:11" x14ac:dyDescent="0.2">
      <c r="B52" s="2">
        <v>43878</v>
      </c>
      <c r="C52" s="2">
        <f t="shared" si="0"/>
        <v>43890</v>
      </c>
      <c r="D52" s="16">
        <f t="shared" si="1"/>
        <v>2020</v>
      </c>
      <c r="E52" s="1" t="s">
        <v>9</v>
      </c>
      <c r="F52" s="1" t="s">
        <v>13</v>
      </c>
      <c r="G52" s="3">
        <v>3305.44</v>
      </c>
      <c r="H52" s="3">
        <v>2632.89</v>
      </c>
      <c r="I52" s="1">
        <v>25</v>
      </c>
      <c r="J52" s="4">
        <v>3.87</v>
      </c>
      <c r="K52" s="4">
        <f t="shared" si="2"/>
        <v>672.55000000000018</v>
      </c>
    </row>
    <row r="53" spans="2:11" x14ac:dyDescent="0.2">
      <c r="B53" s="2">
        <v>43879</v>
      </c>
      <c r="C53" s="2">
        <f t="shared" si="0"/>
        <v>43890</v>
      </c>
      <c r="D53" s="16">
        <f t="shared" si="1"/>
        <v>2020</v>
      </c>
      <c r="E53" s="1" t="s">
        <v>11</v>
      </c>
      <c r="F53" s="1" t="s">
        <v>15</v>
      </c>
      <c r="G53" s="3">
        <v>5794.71</v>
      </c>
      <c r="H53" s="3">
        <v>3862.94</v>
      </c>
      <c r="I53" s="1">
        <v>78</v>
      </c>
      <c r="J53" s="4">
        <v>4.32</v>
      </c>
      <c r="K53" s="4">
        <f t="shared" si="2"/>
        <v>1931.77</v>
      </c>
    </row>
    <row r="54" spans="2:11" x14ac:dyDescent="0.2">
      <c r="B54" s="2">
        <v>43880</v>
      </c>
      <c r="C54" s="2">
        <f t="shared" si="0"/>
        <v>43890</v>
      </c>
      <c r="D54" s="16">
        <f t="shared" si="1"/>
        <v>2020</v>
      </c>
      <c r="E54" s="1" t="s">
        <v>8</v>
      </c>
      <c r="F54" s="1" t="s">
        <v>16</v>
      </c>
      <c r="G54" s="3">
        <v>7162.35</v>
      </c>
      <c r="H54" s="3">
        <v>2969.19</v>
      </c>
      <c r="I54" s="1">
        <v>70</v>
      </c>
      <c r="J54" s="4">
        <v>1.1599999999999999</v>
      </c>
      <c r="K54" s="4">
        <f t="shared" si="2"/>
        <v>4193.16</v>
      </c>
    </row>
    <row r="55" spans="2:11" x14ac:dyDescent="0.2">
      <c r="B55" s="2">
        <v>43881</v>
      </c>
      <c r="C55" s="2">
        <f t="shared" si="0"/>
        <v>43890</v>
      </c>
      <c r="D55" s="16">
        <f t="shared" si="1"/>
        <v>2020</v>
      </c>
      <c r="E55" s="1" t="s">
        <v>8</v>
      </c>
      <c r="F55" s="1" t="s">
        <v>16</v>
      </c>
      <c r="G55" s="3">
        <v>1292.53</v>
      </c>
      <c r="H55" s="3">
        <v>2861.9</v>
      </c>
      <c r="I55" s="1">
        <v>19</v>
      </c>
      <c r="J55" s="4">
        <v>4.49</v>
      </c>
      <c r="K55" s="4">
        <f t="shared" si="2"/>
        <v>-1569.3700000000001</v>
      </c>
    </row>
    <row r="56" spans="2:11" x14ac:dyDescent="0.2">
      <c r="B56" s="2">
        <v>43882</v>
      </c>
      <c r="C56" s="2">
        <f t="shared" si="0"/>
        <v>43890</v>
      </c>
      <c r="D56" s="16">
        <f t="shared" si="1"/>
        <v>2020</v>
      </c>
      <c r="E56" s="1" t="s">
        <v>8</v>
      </c>
      <c r="F56" s="1" t="s">
        <v>15</v>
      </c>
      <c r="G56" s="3">
        <v>3804.66</v>
      </c>
      <c r="H56" s="3">
        <v>3706.93</v>
      </c>
      <c r="I56" s="1">
        <v>59</v>
      </c>
      <c r="J56" s="4">
        <v>2.0299999999999998</v>
      </c>
      <c r="K56" s="4">
        <f t="shared" si="2"/>
        <v>97.730000000000018</v>
      </c>
    </row>
    <row r="57" spans="2:11" x14ac:dyDescent="0.2">
      <c r="B57" s="2">
        <v>43883</v>
      </c>
      <c r="C57" s="2">
        <f t="shared" si="0"/>
        <v>43890</v>
      </c>
      <c r="D57" s="16">
        <f t="shared" si="1"/>
        <v>2020</v>
      </c>
      <c r="E57" s="1" t="s">
        <v>8</v>
      </c>
      <c r="F57" s="1" t="s">
        <v>16</v>
      </c>
      <c r="G57" s="3">
        <v>5865.61</v>
      </c>
      <c r="H57" s="3">
        <v>3521.86</v>
      </c>
      <c r="I57" s="1">
        <v>12</v>
      </c>
      <c r="J57" s="4">
        <v>3.66</v>
      </c>
      <c r="K57" s="4">
        <f t="shared" si="2"/>
        <v>2343.7499999999995</v>
      </c>
    </row>
    <row r="58" spans="2:11" x14ac:dyDescent="0.2">
      <c r="B58" s="2">
        <v>43884</v>
      </c>
      <c r="C58" s="2">
        <f t="shared" si="0"/>
        <v>43890</v>
      </c>
      <c r="D58" s="16">
        <f t="shared" si="1"/>
        <v>2020</v>
      </c>
      <c r="E58" s="1" t="s">
        <v>9</v>
      </c>
      <c r="F58" s="1" t="s">
        <v>16</v>
      </c>
      <c r="G58" s="3">
        <v>4695.43</v>
      </c>
      <c r="H58" s="3">
        <v>1738.89</v>
      </c>
      <c r="I58" s="1">
        <v>86</v>
      </c>
      <c r="J58" s="4">
        <v>4.2</v>
      </c>
      <c r="K58" s="4">
        <f t="shared" si="2"/>
        <v>2956.54</v>
      </c>
    </row>
    <row r="59" spans="2:11" x14ac:dyDescent="0.2">
      <c r="B59" s="2">
        <v>43885</v>
      </c>
      <c r="C59" s="2">
        <f t="shared" si="0"/>
        <v>43890</v>
      </c>
      <c r="D59" s="16">
        <f t="shared" si="1"/>
        <v>2020</v>
      </c>
      <c r="E59" s="1" t="s">
        <v>10</v>
      </c>
      <c r="F59" s="1" t="s">
        <v>13</v>
      </c>
      <c r="G59" s="3">
        <v>5556.72</v>
      </c>
      <c r="H59" s="3">
        <v>4181.2299999999996</v>
      </c>
      <c r="I59" s="1">
        <v>79</v>
      </c>
      <c r="J59" s="4">
        <v>3.65</v>
      </c>
      <c r="K59" s="4">
        <f t="shared" si="2"/>
        <v>1375.4900000000007</v>
      </c>
    </row>
    <row r="60" spans="2:11" x14ac:dyDescent="0.2">
      <c r="B60" s="2">
        <v>43886</v>
      </c>
      <c r="C60" s="2">
        <f t="shared" si="0"/>
        <v>43890</v>
      </c>
      <c r="D60" s="16">
        <f t="shared" si="1"/>
        <v>2020</v>
      </c>
      <c r="E60" s="1" t="s">
        <v>12</v>
      </c>
      <c r="F60" s="1" t="s">
        <v>16</v>
      </c>
      <c r="G60" s="3">
        <v>4094.02</v>
      </c>
      <c r="H60" s="3">
        <v>4104.07</v>
      </c>
      <c r="I60" s="1">
        <v>90</v>
      </c>
      <c r="J60" s="4">
        <v>1.37</v>
      </c>
      <c r="K60" s="4">
        <f t="shared" si="2"/>
        <v>-10.049999999999727</v>
      </c>
    </row>
    <row r="61" spans="2:11" x14ac:dyDescent="0.2">
      <c r="B61" s="2">
        <v>43887</v>
      </c>
      <c r="C61" s="2">
        <f t="shared" si="0"/>
        <v>43890</v>
      </c>
      <c r="D61" s="16">
        <f t="shared" si="1"/>
        <v>2020</v>
      </c>
      <c r="E61" s="1" t="s">
        <v>8</v>
      </c>
      <c r="F61" s="1" t="s">
        <v>14</v>
      </c>
      <c r="G61" s="3">
        <v>5129.88</v>
      </c>
      <c r="H61" s="3">
        <v>2499.5500000000002</v>
      </c>
      <c r="I61" s="1">
        <v>60</v>
      </c>
      <c r="J61" s="4">
        <v>3.39</v>
      </c>
      <c r="K61" s="4">
        <f t="shared" si="2"/>
        <v>2630.33</v>
      </c>
    </row>
    <row r="62" spans="2:11" x14ac:dyDescent="0.2">
      <c r="B62" s="2">
        <v>43888</v>
      </c>
      <c r="C62" s="2">
        <f t="shared" si="0"/>
        <v>43890</v>
      </c>
      <c r="D62" s="16">
        <f t="shared" si="1"/>
        <v>2020</v>
      </c>
      <c r="E62" s="1" t="s">
        <v>11</v>
      </c>
      <c r="F62" s="1" t="s">
        <v>15</v>
      </c>
      <c r="G62" s="3">
        <v>4766.4799999999996</v>
      </c>
      <c r="H62" s="3">
        <v>3316.64</v>
      </c>
      <c r="I62" s="1">
        <v>28</v>
      </c>
      <c r="J62" s="4">
        <v>3.2</v>
      </c>
      <c r="K62" s="4">
        <f t="shared" si="2"/>
        <v>1449.8399999999997</v>
      </c>
    </row>
    <row r="63" spans="2:11" x14ac:dyDescent="0.2">
      <c r="B63" s="2">
        <v>43889</v>
      </c>
      <c r="C63" s="2">
        <f t="shared" si="0"/>
        <v>43890</v>
      </c>
      <c r="D63" s="16">
        <f t="shared" si="1"/>
        <v>2020</v>
      </c>
      <c r="E63" s="1" t="s">
        <v>8</v>
      </c>
      <c r="F63" s="1" t="s">
        <v>13</v>
      </c>
      <c r="G63" s="3">
        <v>6751.67</v>
      </c>
      <c r="H63" s="3">
        <v>3395.22</v>
      </c>
      <c r="I63" s="1">
        <v>51</v>
      </c>
      <c r="J63" s="4">
        <v>4.5999999999999996</v>
      </c>
      <c r="K63" s="4">
        <f t="shared" si="2"/>
        <v>3356.4500000000003</v>
      </c>
    </row>
    <row r="64" spans="2:11" x14ac:dyDescent="0.2">
      <c r="B64" s="2">
        <v>43890</v>
      </c>
      <c r="C64" s="2">
        <f t="shared" si="0"/>
        <v>43890</v>
      </c>
      <c r="D64" s="16">
        <f t="shared" si="1"/>
        <v>2020</v>
      </c>
      <c r="E64" s="1" t="s">
        <v>11</v>
      </c>
      <c r="F64" s="1" t="s">
        <v>13</v>
      </c>
      <c r="G64" s="3">
        <v>5381.63</v>
      </c>
      <c r="H64" s="3">
        <v>3208.54</v>
      </c>
      <c r="I64" s="1">
        <v>44</v>
      </c>
      <c r="J64" s="4">
        <v>2.62</v>
      </c>
      <c r="K64" s="4">
        <f t="shared" si="2"/>
        <v>2173.09</v>
      </c>
    </row>
    <row r="65" spans="2:11" x14ac:dyDescent="0.2">
      <c r="B65" s="2">
        <v>43891</v>
      </c>
      <c r="C65" s="2">
        <f t="shared" si="0"/>
        <v>43921</v>
      </c>
      <c r="D65" s="16">
        <f t="shared" si="1"/>
        <v>2020</v>
      </c>
      <c r="E65" s="1" t="s">
        <v>11</v>
      </c>
      <c r="F65" s="1" t="s">
        <v>14</v>
      </c>
      <c r="G65" s="3">
        <v>5506.4</v>
      </c>
      <c r="H65" s="3">
        <v>2559.7600000000002</v>
      </c>
      <c r="I65" s="1">
        <v>55</v>
      </c>
      <c r="J65" s="4">
        <v>2.2799999999999998</v>
      </c>
      <c r="K65" s="4">
        <f t="shared" si="2"/>
        <v>2946.6399999999994</v>
      </c>
    </row>
    <row r="66" spans="2:11" x14ac:dyDescent="0.2">
      <c r="B66" s="2">
        <v>43892</v>
      </c>
      <c r="C66" s="2">
        <f t="shared" si="0"/>
        <v>43921</v>
      </c>
      <c r="D66" s="16">
        <f t="shared" si="1"/>
        <v>2020</v>
      </c>
      <c r="E66" s="1" t="s">
        <v>8</v>
      </c>
      <c r="F66" s="1" t="s">
        <v>15</v>
      </c>
      <c r="G66" s="3">
        <v>4382.18</v>
      </c>
      <c r="H66" s="3">
        <v>2462.6999999999998</v>
      </c>
      <c r="I66" s="1">
        <v>35</v>
      </c>
      <c r="J66" s="4">
        <v>4</v>
      </c>
      <c r="K66" s="4">
        <f t="shared" si="2"/>
        <v>1919.4800000000005</v>
      </c>
    </row>
    <row r="67" spans="2:11" x14ac:dyDescent="0.2">
      <c r="B67" s="2">
        <v>43893</v>
      </c>
      <c r="C67" s="2">
        <f t="shared" si="0"/>
        <v>43921</v>
      </c>
      <c r="D67" s="16">
        <f t="shared" si="1"/>
        <v>2020</v>
      </c>
      <c r="E67" s="1" t="s">
        <v>9</v>
      </c>
      <c r="F67" s="1" t="s">
        <v>15</v>
      </c>
      <c r="G67" s="3">
        <v>4268.59</v>
      </c>
      <c r="H67" s="3">
        <v>2979.56</v>
      </c>
      <c r="I67" s="1">
        <v>78</v>
      </c>
      <c r="J67" s="4">
        <v>2.65</v>
      </c>
      <c r="K67" s="4">
        <f t="shared" si="2"/>
        <v>1289.0300000000002</v>
      </c>
    </row>
    <row r="68" spans="2:11" x14ac:dyDescent="0.2">
      <c r="B68" s="2">
        <v>43894</v>
      </c>
      <c r="C68" s="2">
        <f t="shared" si="0"/>
        <v>43921</v>
      </c>
      <c r="D68" s="16">
        <f t="shared" si="1"/>
        <v>2020</v>
      </c>
      <c r="E68" s="1" t="s">
        <v>11</v>
      </c>
      <c r="F68" s="1" t="s">
        <v>13</v>
      </c>
      <c r="G68" s="3">
        <v>4351.16</v>
      </c>
      <c r="H68" s="3">
        <v>3938.18</v>
      </c>
      <c r="I68" s="1">
        <v>73</v>
      </c>
      <c r="J68" s="4">
        <v>3.58</v>
      </c>
      <c r="K68" s="4">
        <f t="shared" si="2"/>
        <v>412.98</v>
      </c>
    </row>
    <row r="69" spans="2:11" x14ac:dyDescent="0.2">
      <c r="B69" s="2">
        <v>43895</v>
      </c>
      <c r="C69" s="2">
        <f t="shared" si="0"/>
        <v>43921</v>
      </c>
      <c r="D69" s="16">
        <f t="shared" si="1"/>
        <v>2020</v>
      </c>
      <c r="E69" s="1" t="s">
        <v>11</v>
      </c>
      <c r="F69" s="1" t="s">
        <v>16</v>
      </c>
      <c r="G69" s="3">
        <v>5591.68</v>
      </c>
      <c r="H69" s="3">
        <v>3434.88</v>
      </c>
      <c r="I69" s="1">
        <v>46</v>
      </c>
      <c r="J69" s="4">
        <v>3.59</v>
      </c>
      <c r="K69" s="4">
        <f t="shared" si="2"/>
        <v>2156.8000000000002</v>
      </c>
    </row>
    <row r="70" spans="2:11" x14ac:dyDescent="0.2">
      <c r="B70" s="2">
        <v>43896</v>
      </c>
      <c r="C70" s="2">
        <f t="shared" ref="C70:C133" si="3">EOMONTH(B70,0)</f>
        <v>43921</v>
      </c>
      <c r="D70" s="16">
        <f t="shared" ref="D70:D133" si="4">YEAR(B70)</f>
        <v>2020</v>
      </c>
      <c r="E70" s="1" t="s">
        <v>8</v>
      </c>
      <c r="F70" s="1" t="s">
        <v>13</v>
      </c>
      <c r="G70" s="3">
        <v>4368.5200000000004</v>
      </c>
      <c r="H70" s="3">
        <v>2703.51</v>
      </c>
      <c r="I70" s="1">
        <v>93</v>
      </c>
      <c r="J70" s="4">
        <v>4.55</v>
      </c>
      <c r="K70" s="4">
        <f t="shared" ref="K70:K133" si="5">G70-H70</f>
        <v>1665.0100000000002</v>
      </c>
    </row>
    <row r="71" spans="2:11" x14ac:dyDescent="0.2">
      <c r="B71" s="2">
        <v>43897</v>
      </c>
      <c r="C71" s="2">
        <f t="shared" si="3"/>
        <v>43921</v>
      </c>
      <c r="D71" s="16">
        <f t="shared" si="4"/>
        <v>2020</v>
      </c>
      <c r="E71" s="1" t="s">
        <v>11</v>
      </c>
      <c r="F71" s="1" t="s">
        <v>15</v>
      </c>
      <c r="G71" s="3">
        <v>5434.66</v>
      </c>
      <c r="H71" s="3">
        <v>3617.36</v>
      </c>
      <c r="I71" s="1">
        <v>58</v>
      </c>
      <c r="J71" s="4">
        <v>3.39</v>
      </c>
      <c r="K71" s="4">
        <f t="shared" si="5"/>
        <v>1817.2999999999997</v>
      </c>
    </row>
    <row r="72" spans="2:11" x14ac:dyDescent="0.2">
      <c r="B72" s="2">
        <v>43898</v>
      </c>
      <c r="C72" s="2">
        <f t="shared" si="3"/>
        <v>43921</v>
      </c>
      <c r="D72" s="16">
        <f t="shared" si="4"/>
        <v>2020</v>
      </c>
      <c r="E72" s="1" t="s">
        <v>11</v>
      </c>
      <c r="F72" s="1" t="s">
        <v>14</v>
      </c>
      <c r="G72" s="3">
        <v>8113.1</v>
      </c>
      <c r="H72" s="3">
        <v>721.17</v>
      </c>
      <c r="I72" s="1">
        <v>30</v>
      </c>
      <c r="J72" s="4">
        <v>3.01</v>
      </c>
      <c r="K72" s="4">
        <f t="shared" si="5"/>
        <v>7391.93</v>
      </c>
    </row>
    <row r="73" spans="2:11" x14ac:dyDescent="0.2">
      <c r="B73" s="2">
        <v>43899</v>
      </c>
      <c r="C73" s="2">
        <f t="shared" si="3"/>
        <v>43921</v>
      </c>
      <c r="D73" s="16">
        <f t="shared" si="4"/>
        <v>2020</v>
      </c>
      <c r="E73" s="1" t="s">
        <v>8</v>
      </c>
      <c r="F73" s="1" t="s">
        <v>13</v>
      </c>
      <c r="G73" s="3">
        <v>6306.69</v>
      </c>
      <c r="H73" s="3">
        <v>3919.01</v>
      </c>
      <c r="I73" s="1">
        <v>83</v>
      </c>
      <c r="J73" s="4">
        <v>1.56</v>
      </c>
      <c r="K73" s="4">
        <f t="shared" si="5"/>
        <v>2387.6799999999994</v>
      </c>
    </row>
    <row r="74" spans="2:11" x14ac:dyDescent="0.2">
      <c r="B74" s="2">
        <v>43900</v>
      </c>
      <c r="C74" s="2">
        <f t="shared" si="3"/>
        <v>43921</v>
      </c>
      <c r="D74" s="16">
        <f t="shared" si="4"/>
        <v>2020</v>
      </c>
      <c r="E74" s="1" t="s">
        <v>8</v>
      </c>
      <c r="F74" s="1" t="s">
        <v>15</v>
      </c>
      <c r="G74" s="3">
        <v>4510.96</v>
      </c>
      <c r="H74" s="3">
        <v>1608.23</v>
      </c>
      <c r="I74" s="1">
        <v>73</v>
      </c>
      <c r="J74" s="4">
        <v>1.46</v>
      </c>
      <c r="K74" s="4">
        <f t="shared" si="5"/>
        <v>2902.73</v>
      </c>
    </row>
    <row r="75" spans="2:11" x14ac:dyDescent="0.2">
      <c r="B75" s="2">
        <v>43901</v>
      </c>
      <c r="C75" s="2">
        <f t="shared" si="3"/>
        <v>43921</v>
      </c>
      <c r="D75" s="16">
        <f t="shared" si="4"/>
        <v>2020</v>
      </c>
      <c r="E75" s="1" t="s">
        <v>12</v>
      </c>
      <c r="F75" s="1" t="s">
        <v>13</v>
      </c>
      <c r="G75" s="3">
        <v>6801.82</v>
      </c>
      <c r="H75" s="3">
        <v>2710.05</v>
      </c>
      <c r="I75" s="1">
        <v>14</v>
      </c>
      <c r="J75" s="4">
        <v>1.62</v>
      </c>
      <c r="K75" s="4">
        <f t="shared" si="5"/>
        <v>4091.7699999999995</v>
      </c>
    </row>
    <row r="76" spans="2:11" x14ac:dyDescent="0.2">
      <c r="B76" s="2">
        <v>43902</v>
      </c>
      <c r="C76" s="2">
        <f t="shared" si="3"/>
        <v>43921</v>
      </c>
      <c r="D76" s="16">
        <f t="shared" si="4"/>
        <v>2020</v>
      </c>
      <c r="E76" s="1" t="s">
        <v>9</v>
      </c>
      <c r="F76" s="1" t="s">
        <v>16</v>
      </c>
      <c r="G76" s="3">
        <v>4387.8900000000003</v>
      </c>
      <c r="H76" s="3">
        <v>2104.2600000000002</v>
      </c>
      <c r="I76" s="1">
        <v>79</v>
      </c>
      <c r="J76" s="4">
        <v>1.69</v>
      </c>
      <c r="K76" s="4">
        <f t="shared" si="5"/>
        <v>2283.63</v>
      </c>
    </row>
    <row r="77" spans="2:11" x14ac:dyDescent="0.2">
      <c r="B77" s="2">
        <v>43903</v>
      </c>
      <c r="C77" s="2">
        <f t="shared" si="3"/>
        <v>43921</v>
      </c>
      <c r="D77" s="16">
        <f t="shared" si="4"/>
        <v>2020</v>
      </c>
      <c r="E77" s="1" t="s">
        <v>9</v>
      </c>
      <c r="F77" s="1" t="s">
        <v>13</v>
      </c>
      <c r="G77" s="3">
        <v>1942.81</v>
      </c>
      <c r="H77" s="3">
        <v>1964.25</v>
      </c>
      <c r="I77" s="1">
        <v>99</v>
      </c>
      <c r="J77" s="4">
        <v>3.55</v>
      </c>
      <c r="K77" s="4">
        <f t="shared" si="5"/>
        <v>-21.440000000000055</v>
      </c>
    </row>
    <row r="78" spans="2:11" x14ac:dyDescent="0.2">
      <c r="B78" s="2">
        <v>43904</v>
      </c>
      <c r="C78" s="2">
        <f t="shared" si="3"/>
        <v>43921</v>
      </c>
      <c r="D78" s="16">
        <f t="shared" si="4"/>
        <v>2020</v>
      </c>
      <c r="E78" s="1" t="s">
        <v>11</v>
      </c>
      <c r="F78" s="1" t="s">
        <v>13</v>
      </c>
      <c r="G78" s="3">
        <v>3487.87</v>
      </c>
      <c r="H78" s="3">
        <v>3928.66</v>
      </c>
      <c r="I78" s="1">
        <v>13</v>
      </c>
      <c r="J78" s="4">
        <v>3.96</v>
      </c>
      <c r="K78" s="4">
        <f t="shared" si="5"/>
        <v>-440.78999999999996</v>
      </c>
    </row>
    <row r="79" spans="2:11" x14ac:dyDescent="0.2">
      <c r="B79" s="2">
        <v>43905</v>
      </c>
      <c r="C79" s="2">
        <f t="shared" si="3"/>
        <v>43921</v>
      </c>
      <c r="D79" s="16">
        <f t="shared" si="4"/>
        <v>2020</v>
      </c>
      <c r="E79" s="1" t="s">
        <v>9</v>
      </c>
      <c r="F79" s="1" t="s">
        <v>15</v>
      </c>
      <c r="G79" s="3">
        <v>2193.81</v>
      </c>
      <c r="H79" s="3">
        <v>2625.84</v>
      </c>
      <c r="I79" s="1">
        <v>48</v>
      </c>
      <c r="J79" s="4">
        <v>3.12</v>
      </c>
      <c r="K79" s="4">
        <f t="shared" si="5"/>
        <v>-432.0300000000002</v>
      </c>
    </row>
    <row r="80" spans="2:11" x14ac:dyDescent="0.2">
      <c r="B80" s="2">
        <v>43906</v>
      </c>
      <c r="C80" s="2">
        <f t="shared" si="3"/>
        <v>43921</v>
      </c>
      <c r="D80" s="16">
        <f t="shared" si="4"/>
        <v>2020</v>
      </c>
      <c r="E80" s="1" t="s">
        <v>11</v>
      </c>
      <c r="F80" s="1" t="s">
        <v>15</v>
      </c>
      <c r="G80" s="3">
        <v>4472.7299999999996</v>
      </c>
      <c r="H80" s="3">
        <v>3277.2</v>
      </c>
      <c r="I80" s="1">
        <v>44</v>
      </c>
      <c r="J80" s="4">
        <v>4.32</v>
      </c>
      <c r="K80" s="4">
        <f t="shared" si="5"/>
        <v>1195.5299999999997</v>
      </c>
    </row>
    <row r="81" spans="2:11" x14ac:dyDescent="0.2">
      <c r="B81" s="2">
        <v>43907</v>
      </c>
      <c r="C81" s="2">
        <f t="shared" si="3"/>
        <v>43921</v>
      </c>
      <c r="D81" s="16">
        <f t="shared" si="4"/>
        <v>2020</v>
      </c>
      <c r="E81" s="1" t="s">
        <v>12</v>
      </c>
      <c r="F81" s="1" t="s">
        <v>15</v>
      </c>
      <c r="G81" s="3">
        <v>5027.63</v>
      </c>
      <c r="H81" s="3">
        <v>2962.46</v>
      </c>
      <c r="I81" s="1">
        <v>10</v>
      </c>
      <c r="J81" s="4">
        <v>4.97</v>
      </c>
      <c r="K81" s="4">
        <f t="shared" si="5"/>
        <v>2065.17</v>
      </c>
    </row>
    <row r="82" spans="2:11" x14ac:dyDescent="0.2">
      <c r="B82" s="2">
        <v>43908</v>
      </c>
      <c r="C82" s="2">
        <f t="shared" si="3"/>
        <v>43921</v>
      </c>
      <c r="D82" s="16">
        <f t="shared" si="4"/>
        <v>2020</v>
      </c>
      <c r="E82" s="1" t="s">
        <v>8</v>
      </c>
      <c r="F82" s="1" t="s">
        <v>13</v>
      </c>
      <c r="G82" s="3">
        <v>7514.66</v>
      </c>
      <c r="H82" s="3">
        <v>3381.63</v>
      </c>
      <c r="I82" s="1">
        <v>33</v>
      </c>
      <c r="J82" s="4">
        <v>4.28</v>
      </c>
      <c r="K82" s="4">
        <f t="shared" si="5"/>
        <v>4133.03</v>
      </c>
    </row>
    <row r="83" spans="2:11" x14ac:dyDescent="0.2">
      <c r="B83" s="2">
        <v>43909</v>
      </c>
      <c r="C83" s="2">
        <f t="shared" si="3"/>
        <v>43921</v>
      </c>
      <c r="D83" s="16">
        <f t="shared" si="4"/>
        <v>2020</v>
      </c>
      <c r="E83" s="1" t="s">
        <v>8</v>
      </c>
      <c r="F83" s="1" t="s">
        <v>16</v>
      </c>
      <c r="G83" s="3">
        <v>5490.39</v>
      </c>
      <c r="H83" s="3">
        <v>3061.46</v>
      </c>
      <c r="I83" s="1">
        <v>66</v>
      </c>
      <c r="J83" s="4">
        <v>3.78</v>
      </c>
      <c r="K83" s="4">
        <f t="shared" si="5"/>
        <v>2428.9300000000003</v>
      </c>
    </row>
    <row r="84" spans="2:11" x14ac:dyDescent="0.2">
      <c r="B84" s="2">
        <v>43910</v>
      </c>
      <c r="C84" s="2">
        <f t="shared" si="3"/>
        <v>43921</v>
      </c>
      <c r="D84" s="16">
        <f t="shared" si="4"/>
        <v>2020</v>
      </c>
      <c r="E84" s="1" t="s">
        <v>8</v>
      </c>
      <c r="F84" s="1" t="s">
        <v>14</v>
      </c>
      <c r="G84" s="3">
        <v>4671.3500000000004</v>
      </c>
      <c r="H84" s="3">
        <v>1973.61</v>
      </c>
      <c r="I84" s="1">
        <v>79</v>
      </c>
      <c r="J84" s="4">
        <v>3.13</v>
      </c>
      <c r="K84" s="4">
        <f t="shared" si="5"/>
        <v>2697.7400000000007</v>
      </c>
    </row>
    <row r="85" spans="2:11" x14ac:dyDescent="0.2">
      <c r="B85" s="2">
        <v>43911</v>
      </c>
      <c r="C85" s="2">
        <f t="shared" si="3"/>
        <v>43921</v>
      </c>
      <c r="D85" s="16">
        <f t="shared" si="4"/>
        <v>2020</v>
      </c>
      <c r="E85" s="1" t="s">
        <v>9</v>
      </c>
      <c r="F85" s="1" t="s">
        <v>14</v>
      </c>
      <c r="G85" s="3">
        <v>6244.11</v>
      </c>
      <c r="H85" s="3">
        <v>3797.01</v>
      </c>
      <c r="I85" s="1">
        <v>50</v>
      </c>
      <c r="J85" s="4">
        <v>2.8</v>
      </c>
      <c r="K85" s="4">
        <f t="shared" si="5"/>
        <v>2447.0999999999995</v>
      </c>
    </row>
    <row r="86" spans="2:11" x14ac:dyDescent="0.2">
      <c r="B86" s="2">
        <v>43912</v>
      </c>
      <c r="C86" s="2">
        <f t="shared" si="3"/>
        <v>43921</v>
      </c>
      <c r="D86" s="16">
        <f t="shared" si="4"/>
        <v>2020</v>
      </c>
      <c r="E86" s="1" t="s">
        <v>12</v>
      </c>
      <c r="F86" s="1" t="s">
        <v>15</v>
      </c>
      <c r="G86" s="3">
        <v>1683.3</v>
      </c>
      <c r="H86" s="3">
        <v>2604.9899999999998</v>
      </c>
      <c r="I86" s="1">
        <v>63</v>
      </c>
      <c r="J86" s="4">
        <v>1.34</v>
      </c>
      <c r="K86" s="4">
        <f t="shared" si="5"/>
        <v>-921.68999999999983</v>
      </c>
    </row>
    <row r="87" spans="2:11" x14ac:dyDescent="0.2">
      <c r="B87" s="2">
        <v>43913</v>
      </c>
      <c r="C87" s="2">
        <f t="shared" si="3"/>
        <v>43921</v>
      </c>
      <c r="D87" s="16">
        <f t="shared" si="4"/>
        <v>2020</v>
      </c>
      <c r="E87" s="1" t="s">
        <v>9</v>
      </c>
      <c r="F87" s="1" t="s">
        <v>15</v>
      </c>
      <c r="G87" s="3">
        <v>5353.42</v>
      </c>
      <c r="H87" s="3">
        <v>1754.73</v>
      </c>
      <c r="I87" s="1">
        <v>55</v>
      </c>
      <c r="J87" s="4">
        <v>2.6</v>
      </c>
      <c r="K87" s="4">
        <f t="shared" si="5"/>
        <v>3598.69</v>
      </c>
    </row>
    <row r="88" spans="2:11" x14ac:dyDescent="0.2">
      <c r="B88" s="2">
        <v>43914</v>
      </c>
      <c r="C88" s="2">
        <f t="shared" si="3"/>
        <v>43921</v>
      </c>
      <c r="D88" s="16">
        <f t="shared" si="4"/>
        <v>2020</v>
      </c>
      <c r="E88" s="1" t="s">
        <v>9</v>
      </c>
      <c r="F88" s="1" t="s">
        <v>13</v>
      </c>
      <c r="G88" s="3">
        <v>6156.3</v>
      </c>
      <c r="H88" s="3">
        <v>2657.51</v>
      </c>
      <c r="I88" s="1">
        <v>69</v>
      </c>
      <c r="J88" s="4">
        <v>4.6399999999999997</v>
      </c>
      <c r="K88" s="4">
        <f t="shared" si="5"/>
        <v>3498.79</v>
      </c>
    </row>
    <row r="89" spans="2:11" x14ac:dyDescent="0.2">
      <c r="B89" s="2">
        <v>43915</v>
      </c>
      <c r="C89" s="2">
        <f t="shared" si="3"/>
        <v>43921</v>
      </c>
      <c r="D89" s="16">
        <f t="shared" si="4"/>
        <v>2020</v>
      </c>
      <c r="E89" s="1" t="s">
        <v>12</v>
      </c>
      <c r="F89" s="1" t="s">
        <v>14</v>
      </c>
      <c r="G89" s="3">
        <v>2782.12</v>
      </c>
      <c r="H89" s="3">
        <v>4200.6099999999997</v>
      </c>
      <c r="I89" s="1">
        <v>69</v>
      </c>
      <c r="J89" s="4">
        <v>4.2300000000000004</v>
      </c>
      <c r="K89" s="4">
        <f t="shared" si="5"/>
        <v>-1418.4899999999998</v>
      </c>
    </row>
    <row r="90" spans="2:11" x14ac:dyDescent="0.2">
      <c r="B90" s="2">
        <v>43916</v>
      </c>
      <c r="C90" s="2">
        <f t="shared" si="3"/>
        <v>43921</v>
      </c>
      <c r="D90" s="16">
        <f t="shared" si="4"/>
        <v>2020</v>
      </c>
      <c r="E90" s="1" t="s">
        <v>12</v>
      </c>
      <c r="F90" s="1" t="s">
        <v>15</v>
      </c>
      <c r="G90" s="3">
        <v>6715.63</v>
      </c>
      <c r="H90" s="3">
        <v>3680.18</v>
      </c>
      <c r="I90" s="1">
        <v>66</v>
      </c>
      <c r="J90" s="4">
        <v>1.86</v>
      </c>
      <c r="K90" s="4">
        <f t="shared" si="5"/>
        <v>3035.4500000000003</v>
      </c>
    </row>
    <row r="91" spans="2:11" x14ac:dyDescent="0.2">
      <c r="B91" s="2">
        <v>43917</v>
      </c>
      <c r="C91" s="2">
        <f t="shared" si="3"/>
        <v>43921</v>
      </c>
      <c r="D91" s="16">
        <f t="shared" si="4"/>
        <v>2020</v>
      </c>
      <c r="E91" s="1" t="s">
        <v>12</v>
      </c>
      <c r="F91" s="1" t="s">
        <v>16</v>
      </c>
      <c r="G91" s="3">
        <v>5507.74</v>
      </c>
      <c r="H91" s="3">
        <v>2721.08</v>
      </c>
      <c r="I91" s="1">
        <v>40</v>
      </c>
      <c r="J91" s="4">
        <v>2.87</v>
      </c>
      <c r="K91" s="4">
        <f t="shared" si="5"/>
        <v>2786.66</v>
      </c>
    </row>
    <row r="92" spans="2:11" x14ac:dyDescent="0.2">
      <c r="B92" s="2">
        <v>43918</v>
      </c>
      <c r="C92" s="2">
        <f t="shared" si="3"/>
        <v>43921</v>
      </c>
      <c r="D92" s="16">
        <f t="shared" si="4"/>
        <v>2020</v>
      </c>
      <c r="E92" s="1" t="s">
        <v>12</v>
      </c>
      <c r="F92" s="1" t="s">
        <v>16</v>
      </c>
      <c r="G92" s="3">
        <v>4377.07</v>
      </c>
      <c r="H92" s="3">
        <v>2720.59</v>
      </c>
      <c r="I92" s="1">
        <v>93</v>
      </c>
      <c r="J92" s="4">
        <v>4.2699999999999996</v>
      </c>
      <c r="K92" s="4">
        <f t="shared" si="5"/>
        <v>1656.4799999999996</v>
      </c>
    </row>
    <row r="93" spans="2:11" x14ac:dyDescent="0.2">
      <c r="B93" s="2">
        <v>43919</v>
      </c>
      <c r="C93" s="2">
        <f t="shared" si="3"/>
        <v>43921</v>
      </c>
      <c r="D93" s="16">
        <f t="shared" si="4"/>
        <v>2020</v>
      </c>
      <c r="E93" s="1" t="s">
        <v>8</v>
      </c>
      <c r="F93" s="1" t="s">
        <v>15</v>
      </c>
      <c r="G93" s="3">
        <v>5949.17</v>
      </c>
      <c r="H93" s="3">
        <v>2742.69</v>
      </c>
      <c r="I93" s="1">
        <v>33</v>
      </c>
      <c r="J93" s="4">
        <v>1.27</v>
      </c>
      <c r="K93" s="4">
        <f t="shared" si="5"/>
        <v>3206.48</v>
      </c>
    </row>
    <row r="94" spans="2:11" x14ac:dyDescent="0.2">
      <c r="B94" s="2">
        <v>43920</v>
      </c>
      <c r="C94" s="2">
        <f t="shared" si="3"/>
        <v>43921</v>
      </c>
      <c r="D94" s="16">
        <f t="shared" si="4"/>
        <v>2020</v>
      </c>
      <c r="E94" s="1" t="s">
        <v>10</v>
      </c>
      <c r="F94" s="1" t="s">
        <v>15</v>
      </c>
      <c r="G94" s="3">
        <v>8406.0400000000009</v>
      </c>
      <c r="H94" s="3">
        <v>4661.3999999999996</v>
      </c>
      <c r="I94" s="1">
        <v>98</v>
      </c>
      <c r="J94" s="4">
        <v>2.5499999999999998</v>
      </c>
      <c r="K94" s="4">
        <f t="shared" si="5"/>
        <v>3744.6400000000012</v>
      </c>
    </row>
    <row r="95" spans="2:11" x14ac:dyDescent="0.2">
      <c r="B95" s="2">
        <v>43921</v>
      </c>
      <c r="C95" s="2">
        <f t="shared" si="3"/>
        <v>43921</v>
      </c>
      <c r="D95" s="16">
        <f t="shared" si="4"/>
        <v>2020</v>
      </c>
      <c r="E95" s="1" t="s">
        <v>10</v>
      </c>
      <c r="F95" s="1" t="s">
        <v>14</v>
      </c>
      <c r="G95" s="3">
        <v>5272.8</v>
      </c>
      <c r="H95" s="3">
        <v>3305.55</v>
      </c>
      <c r="I95" s="1">
        <v>45</v>
      </c>
      <c r="J95" s="4">
        <v>4.41</v>
      </c>
      <c r="K95" s="4">
        <f t="shared" si="5"/>
        <v>1967.25</v>
      </c>
    </row>
    <row r="96" spans="2:11" x14ac:dyDescent="0.2">
      <c r="B96" s="2">
        <v>43922</v>
      </c>
      <c r="C96" s="2">
        <f t="shared" si="3"/>
        <v>43951</v>
      </c>
      <c r="D96" s="16">
        <f t="shared" si="4"/>
        <v>2020</v>
      </c>
      <c r="E96" s="1" t="s">
        <v>12</v>
      </c>
      <c r="F96" s="1" t="s">
        <v>14</v>
      </c>
      <c r="G96" s="3">
        <v>5372.33</v>
      </c>
      <c r="H96" s="3">
        <v>3344.03</v>
      </c>
      <c r="I96" s="1">
        <v>94</v>
      </c>
      <c r="J96" s="4">
        <v>2.62</v>
      </c>
      <c r="K96" s="4">
        <f t="shared" si="5"/>
        <v>2028.2999999999997</v>
      </c>
    </row>
    <row r="97" spans="2:11" x14ac:dyDescent="0.2">
      <c r="B97" s="2">
        <v>43923</v>
      </c>
      <c r="C97" s="2">
        <f t="shared" si="3"/>
        <v>43951</v>
      </c>
      <c r="D97" s="16">
        <f t="shared" si="4"/>
        <v>2020</v>
      </c>
      <c r="E97" s="1" t="s">
        <v>10</v>
      </c>
      <c r="F97" s="1" t="s">
        <v>13</v>
      </c>
      <c r="G97" s="3">
        <v>4310.96</v>
      </c>
      <c r="H97" s="3">
        <v>3824.23</v>
      </c>
      <c r="I97" s="1">
        <v>39</v>
      </c>
      <c r="J97" s="4">
        <v>1.31</v>
      </c>
      <c r="K97" s="4">
        <f t="shared" si="5"/>
        <v>486.73</v>
      </c>
    </row>
    <row r="98" spans="2:11" x14ac:dyDescent="0.2">
      <c r="B98" s="2">
        <v>43924</v>
      </c>
      <c r="C98" s="2">
        <f t="shared" si="3"/>
        <v>43951</v>
      </c>
      <c r="D98" s="16">
        <f t="shared" si="4"/>
        <v>2020</v>
      </c>
      <c r="E98" s="1" t="s">
        <v>10</v>
      </c>
      <c r="F98" s="1" t="s">
        <v>14</v>
      </c>
      <c r="G98" s="3">
        <v>3725.23</v>
      </c>
      <c r="H98" s="3">
        <v>3191.03</v>
      </c>
      <c r="I98" s="1">
        <v>33</v>
      </c>
      <c r="J98" s="4">
        <v>3.17</v>
      </c>
      <c r="K98" s="4">
        <f t="shared" si="5"/>
        <v>534.19999999999982</v>
      </c>
    </row>
    <row r="99" spans="2:11" x14ac:dyDescent="0.2">
      <c r="B99" s="2">
        <v>43925</v>
      </c>
      <c r="C99" s="2">
        <f t="shared" si="3"/>
        <v>43951</v>
      </c>
      <c r="D99" s="16">
        <f t="shared" si="4"/>
        <v>2020</v>
      </c>
      <c r="E99" s="1" t="s">
        <v>12</v>
      </c>
      <c r="F99" s="1" t="s">
        <v>16</v>
      </c>
      <c r="G99" s="3">
        <v>6245.5</v>
      </c>
      <c r="H99" s="3">
        <v>2792.77</v>
      </c>
      <c r="I99" s="1">
        <v>39</v>
      </c>
      <c r="J99" s="4">
        <v>4.45</v>
      </c>
      <c r="K99" s="4">
        <f t="shared" si="5"/>
        <v>3452.73</v>
      </c>
    </row>
    <row r="100" spans="2:11" x14ac:dyDescent="0.2">
      <c r="B100" s="2">
        <v>43926</v>
      </c>
      <c r="C100" s="2">
        <f t="shared" si="3"/>
        <v>43951</v>
      </c>
      <c r="D100" s="16">
        <f t="shared" si="4"/>
        <v>2020</v>
      </c>
      <c r="E100" s="1" t="s">
        <v>10</v>
      </c>
      <c r="F100" s="1" t="s">
        <v>16</v>
      </c>
      <c r="G100" s="3">
        <v>3715.87</v>
      </c>
      <c r="H100" s="3">
        <v>2842.92</v>
      </c>
      <c r="I100" s="1">
        <v>95</v>
      </c>
      <c r="J100" s="4">
        <v>3.36</v>
      </c>
      <c r="K100" s="4">
        <f t="shared" si="5"/>
        <v>872.94999999999982</v>
      </c>
    </row>
    <row r="101" spans="2:11" x14ac:dyDescent="0.2">
      <c r="B101" s="2">
        <v>43927</v>
      </c>
      <c r="C101" s="2">
        <f t="shared" si="3"/>
        <v>43951</v>
      </c>
      <c r="D101" s="16">
        <f t="shared" si="4"/>
        <v>2020</v>
      </c>
      <c r="E101" s="1" t="s">
        <v>9</v>
      </c>
      <c r="F101" s="1" t="s">
        <v>15</v>
      </c>
      <c r="G101" s="3">
        <v>5107.3500000000004</v>
      </c>
      <c r="H101" s="3">
        <v>2942.72</v>
      </c>
      <c r="I101" s="1">
        <v>16</v>
      </c>
      <c r="J101" s="4">
        <v>1.91</v>
      </c>
      <c r="K101" s="4">
        <f t="shared" si="5"/>
        <v>2164.6300000000006</v>
      </c>
    </row>
    <row r="102" spans="2:11" x14ac:dyDescent="0.2">
      <c r="B102" s="2">
        <v>43928</v>
      </c>
      <c r="C102" s="2">
        <f t="shared" si="3"/>
        <v>43951</v>
      </c>
      <c r="D102" s="16">
        <f t="shared" si="4"/>
        <v>2020</v>
      </c>
      <c r="E102" s="1" t="s">
        <v>11</v>
      </c>
      <c r="F102" s="1" t="s">
        <v>14</v>
      </c>
      <c r="G102" s="3">
        <v>4283.51</v>
      </c>
      <c r="H102" s="3">
        <v>2970.22</v>
      </c>
      <c r="I102" s="1">
        <v>44</v>
      </c>
      <c r="J102" s="4">
        <v>2.54</v>
      </c>
      <c r="K102" s="4">
        <f t="shared" si="5"/>
        <v>1313.2900000000004</v>
      </c>
    </row>
    <row r="103" spans="2:11" x14ac:dyDescent="0.2">
      <c r="B103" s="2">
        <v>43929</v>
      </c>
      <c r="C103" s="2">
        <f t="shared" si="3"/>
        <v>43951</v>
      </c>
      <c r="D103" s="16">
        <f t="shared" si="4"/>
        <v>2020</v>
      </c>
      <c r="E103" s="1" t="s">
        <v>11</v>
      </c>
      <c r="F103" s="1" t="s">
        <v>13</v>
      </c>
      <c r="G103" s="3">
        <v>5718.47</v>
      </c>
      <c r="H103" s="3">
        <v>3582.1</v>
      </c>
      <c r="I103" s="1">
        <v>64</v>
      </c>
      <c r="J103" s="4">
        <v>2.8</v>
      </c>
      <c r="K103" s="4">
        <f t="shared" si="5"/>
        <v>2136.3700000000003</v>
      </c>
    </row>
    <row r="104" spans="2:11" x14ac:dyDescent="0.2">
      <c r="B104" s="2">
        <v>43930</v>
      </c>
      <c r="C104" s="2">
        <f t="shared" si="3"/>
        <v>43951</v>
      </c>
      <c r="D104" s="16">
        <f t="shared" si="4"/>
        <v>2020</v>
      </c>
      <c r="E104" s="1" t="s">
        <v>12</v>
      </c>
      <c r="F104" s="1" t="s">
        <v>16</v>
      </c>
      <c r="G104" s="3">
        <v>5500.49</v>
      </c>
      <c r="H104" s="3">
        <v>3041.56</v>
      </c>
      <c r="I104" s="1">
        <v>23</v>
      </c>
      <c r="J104" s="4">
        <v>3.32</v>
      </c>
      <c r="K104" s="4">
        <f t="shared" si="5"/>
        <v>2458.9299999999998</v>
      </c>
    </row>
    <row r="105" spans="2:11" x14ac:dyDescent="0.2">
      <c r="B105" s="2">
        <v>43931</v>
      </c>
      <c r="C105" s="2">
        <f t="shared" si="3"/>
        <v>43951</v>
      </c>
      <c r="D105" s="16">
        <f t="shared" si="4"/>
        <v>2020</v>
      </c>
      <c r="E105" s="1" t="s">
        <v>8</v>
      </c>
      <c r="F105" s="1" t="s">
        <v>16</v>
      </c>
      <c r="G105" s="3">
        <v>6556.31</v>
      </c>
      <c r="H105" s="3">
        <v>3586.11</v>
      </c>
      <c r="I105" s="1">
        <v>19</v>
      </c>
      <c r="J105" s="4">
        <v>4.04</v>
      </c>
      <c r="K105" s="4">
        <f t="shared" si="5"/>
        <v>2970.2000000000003</v>
      </c>
    </row>
    <row r="106" spans="2:11" x14ac:dyDescent="0.2">
      <c r="B106" s="2">
        <v>43932</v>
      </c>
      <c r="C106" s="2">
        <f t="shared" si="3"/>
        <v>43951</v>
      </c>
      <c r="D106" s="16">
        <f t="shared" si="4"/>
        <v>2020</v>
      </c>
      <c r="E106" s="1" t="s">
        <v>12</v>
      </c>
      <c r="F106" s="1" t="s">
        <v>13</v>
      </c>
      <c r="G106" s="3">
        <v>4234.9799999999996</v>
      </c>
      <c r="H106" s="3">
        <v>2935.43</v>
      </c>
      <c r="I106" s="1">
        <v>89</v>
      </c>
      <c r="J106" s="4">
        <v>1.4</v>
      </c>
      <c r="K106" s="4">
        <f t="shared" si="5"/>
        <v>1299.5499999999997</v>
      </c>
    </row>
    <row r="107" spans="2:11" x14ac:dyDescent="0.2">
      <c r="B107" s="2">
        <v>43933</v>
      </c>
      <c r="C107" s="2">
        <f t="shared" si="3"/>
        <v>43951</v>
      </c>
      <c r="D107" s="16">
        <f t="shared" si="4"/>
        <v>2020</v>
      </c>
      <c r="E107" s="1" t="s">
        <v>8</v>
      </c>
      <c r="F107" s="1" t="s">
        <v>13</v>
      </c>
      <c r="G107" s="3">
        <v>4595.1899999999996</v>
      </c>
      <c r="H107" s="3">
        <v>3062.91</v>
      </c>
      <c r="I107" s="1">
        <v>25</v>
      </c>
      <c r="J107" s="4">
        <v>4.5599999999999996</v>
      </c>
      <c r="K107" s="4">
        <f t="shared" si="5"/>
        <v>1532.2799999999997</v>
      </c>
    </row>
    <row r="108" spans="2:11" x14ac:dyDescent="0.2">
      <c r="B108" s="2">
        <v>43934</v>
      </c>
      <c r="C108" s="2">
        <f t="shared" si="3"/>
        <v>43951</v>
      </c>
      <c r="D108" s="16">
        <f t="shared" si="4"/>
        <v>2020</v>
      </c>
      <c r="E108" s="1" t="s">
        <v>11</v>
      </c>
      <c r="F108" s="1" t="s">
        <v>16</v>
      </c>
      <c r="G108" s="3">
        <v>3531.85</v>
      </c>
      <c r="H108" s="3">
        <v>1401.44</v>
      </c>
      <c r="I108" s="1">
        <v>63</v>
      </c>
      <c r="J108" s="4">
        <v>1.05</v>
      </c>
      <c r="K108" s="4">
        <f t="shared" si="5"/>
        <v>2130.41</v>
      </c>
    </row>
    <row r="109" spans="2:11" x14ac:dyDescent="0.2">
      <c r="B109" s="2">
        <v>43935</v>
      </c>
      <c r="C109" s="2">
        <f t="shared" si="3"/>
        <v>43951</v>
      </c>
      <c r="D109" s="16">
        <f t="shared" si="4"/>
        <v>2020</v>
      </c>
      <c r="E109" s="1" t="s">
        <v>12</v>
      </c>
      <c r="F109" s="1" t="s">
        <v>16</v>
      </c>
      <c r="G109" s="3">
        <v>4333.5600000000004</v>
      </c>
      <c r="H109" s="3">
        <v>3733.06</v>
      </c>
      <c r="I109" s="1">
        <v>98</v>
      </c>
      <c r="J109" s="4">
        <v>2.48</v>
      </c>
      <c r="K109" s="4">
        <f t="shared" si="5"/>
        <v>600.50000000000045</v>
      </c>
    </row>
    <row r="110" spans="2:11" x14ac:dyDescent="0.2">
      <c r="B110" s="2">
        <v>43936</v>
      </c>
      <c r="C110" s="2">
        <f t="shared" si="3"/>
        <v>43951</v>
      </c>
      <c r="D110" s="16">
        <f t="shared" si="4"/>
        <v>2020</v>
      </c>
      <c r="E110" s="1" t="s">
        <v>9</v>
      </c>
      <c r="F110" s="1" t="s">
        <v>13</v>
      </c>
      <c r="G110" s="3">
        <v>5565.95</v>
      </c>
      <c r="H110" s="3">
        <v>3277.19</v>
      </c>
      <c r="I110" s="1">
        <v>86</v>
      </c>
      <c r="J110" s="4">
        <v>1.1100000000000001</v>
      </c>
      <c r="K110" s="4">
        <f t="shared" si="5"/>
        <v>2288.7599999999998</v>
      </c>
    </row>
    <row r="111" spans="2:11" x14ac:dyDescent="0.2">
      <c r="B111" s="2">
        <v>43937</v>
      </c>
      <c r="C111" s="2">
        <f t="shared" si="3"/>
        <v>43951</v>
      </c>
      <c r="D111" s="16">
        <f t="shared" si="4"/>
        <v>2020</v>
      </c>
      <c r="E111" s="1" t="s">
        <v>10</v>
      </c>
      <c r="F111" s="1" t="s">
        <v>16</v>
      </c>
      <c r="G111" s="3">
        <v>6135.48</v>
      </c>
      <c r="H111" s="3">
        <v>3798.41</v>
      </c>
      <c r="I111" s="1">
        <v>79</v>
      </c>
      <c r="J111" s="4">
        <v>2.57</v>
      </c>
      <c r="K111" s="4">
        <f t="shared" si="5"/>
        <v>2337.0699999999997</v>
      </c>
    </row>
    <row r="112" spans="2:11" x14ac:dyDescent="0.2">
      <c r="B112" s="2">
        <v>43938</v>
      </c>
      <c r="C112" s="2">
        <f t="shared" si="3"/>
        <v>43951</v>
      </c>
      <c r="D112" s="16">
        <f t="shared" si="4"/>
        <v>2020</v>
      </c>
      <c r="E112" s="1" t="s">
        <v>8</v>
      </c>
      <c r="F112" s="1" t="s">
        <v>15</v>
      </c>
      <c r="G112" s="3">
        <v>3616.75</v>
      </c>
      <c r="H112" s="3">
        <v>683</v>
      </c>
      <c r="I112" s="1">
        <v>53</v>
      </c>
      <c r="J112" s="4">
        <v>3.1</v>
      </c>
      <c r="K112" s="4">
        <f t="shared" si="5"/>
        <v>2933.75</v>
      </c>
    </row>
    <row r="113" spans="2:11" x14ac:dyDescent="0.2">
      <c r="B113" s="2">
        <v>43939</v>
      </c>
      <c r="C113" s="2">
        <f t="shared" si="3"/>
        <v>43951</v>
      </c>
      <c r="D113" s="16">
        <f t="shared" si="4"/>
        <v>2020</v>
      </c>
      <c r="E113" s="1" t="s">
        <v>10</v>
      </c>
      <c r="F113" s="1" t="s">
        <v>15</v>
      </c>
      <c r="G113" s="3">
        <v>6304.41</v>
      </c>
      <c r="H113" s="3">
        <v>4670.7</v>
      </c>
      <c r="I113" s="1">
        <v>82</v>
      </c>
      <c r="J113" s="4">
        <v>3.05</v>
      </c>
      <c r="K113" s="4">
        <f t="shared" si="5"/>
        <v>1633.71</v>
      </c>
    </row>
    <row r="114" spans="2:11" x14ac:dyDescent="0.2">
      <c r="B114" s="2">
        <v>43940</v>
      </c>
      <c r="C114" s="2">
        <f t="shared" si="3"/>
        <v>43951</v>
      </c>
      <c r="D114" s="16">
        <f t="shared" si="4"/>
        <v>2020</v>
      </c>
      <c r="E114" s="1" t="s">
        <v>10</v>
      </c>
      <c r="F114" s="1" t="s">
        <v>13</v>
      </c>
      <c r="G114" s="3">
        <v>7033.46</v>
      </c>
      <c r="H114" s="3">
        <v>2888.33</v>
      </c>
      <c r="I114" s="1">
        <v>54</v>
      </c>
      <c r="J114" s="4">
        <v>1.66</v>
      </c>
      <c r="K114" s="4">
        <f t="shared" si="5"/>
        <v>4145.13</v>
      </c>
    </row>
    <row r="115" spans="2:11" x14ac:dyDescent="0.2">
      <c r="B115" s="2">
        <v>43941</v>
      </c>
      <c r="C115" s="2">
        <f t="shared" si="3"/>
        <v>43951</v>
      </c>
      <c r="D115" s="16">
        <f t="shared" si="4"/>
        <v>2020</v>
      </c>
      <c r="E115" s="1" t="s">
        <v>12</v>
      </c>
      <c r="F115" s="1" t="s">
        <v>14</v>
      </c>
      <c r="G115" s="3">
        <v>5620.15</v>
      </c>
      <c r="H115" s="3">
        <v>3886.55</v>
      </c>
      <c r="I115" s="1">
        <v>65</v>
      </c>
      <c r="J115" s="4">
        <v>3.58</v>
      </c>
      <c r="K115" s="4">
        <f t="shared" si="5"/>
        <v>1733.5999999999995</v>
      </c>
    </row>
    <row r="116" spans="2:11" x14ac:dyDescent="0.2">
      <c r="B116" s="2">
        <v>43942</v>
      </c>
      <c r="C116" s="2">
        <f t="shared" si="3"/>
        <v>43951</v>
      </c>
      <c r="D116" s="16">
        <f t="shared" si="4"/>
        <v>2020</v>
      </c>
      <c r="E116" s="1" t="s">
        <v>10</v>
      </c>
      <c r="F116" s="1" t="s">
        <v>13</v>
      </c>
      <c r="G116" s="3">
        <v>7815.19</v>
      </c>
      <c r="H116" s="3">
        <v>2168.08</v>
      </c>
      <c r="I116" s="1">
        <v>93</v>
      </c>
      <c r="J116" s="4">
        <v>1.18</v>
      </c>
      <c r="K116" s="4">
        <f t="shared" si="5"/>
        <v>5647.11</v>
      </c>
    </row>
    <row r="117" spans="2:11" x14ac:dyDescent="0.2">
      <c r="B117" s="2">
        <v>43943</v>
      </c>
      <c r="C117" s="2">
        <f t="shared" si="3"/>
        <v>43951</v>
      </c>
      <c r="D117" s="16">
        <f t="shared" si="4"/>
        <v>2020</v>
      </c>
      <c r="E117" s="1" t="s">
        <v>9</v>
      </c>
      <c r="F117" s="1" t="s">
        <v>13</v>
      </c>
      <c r="G117" s="3">
        <v>3839.32</v>
      </c>
      <c r="H117" s="3">
        <v>3490.22</v>
      </c>
      <c r="I117" s="1">
        <v>91</v>
      </c>
      <c r="J117" s="4">
        <v>4.05</v>
      </c>
      <c r="K117" s="4">
        <f t="shared" si="5"/>
        <v>349.10000000000036</v>
      </c>
    </row>
    <row r="118" spans="2:11" x14ac:dyDescent="0.2">
      <c r="B118" s="2">
        <v>43944</v>
      </c>
      <c r="C118" s="2">
        <f t="shared" si="3"/>
        <v>43951</v>
      </c>
      <c r="D118" s="16">
        <f t="shared" si="4"/>
        <v>2020</v>
      </c>
      <c r="E118" s="1" t="s">
        <v>10</v>
      </c>
      <c r="F118" s="1" t="s">
        <v>14</v>
      </c>
      <c r="G118" s="3">
        <v>3133.02</v>
      </c>
      <c r="H118" s="3">
        <v>2157.27</v>
      </c>
      <c r="I118" s="1">
        <v>66</v>
      </c>
      <c r="J118" s="4">
        <v>4.79</v>
      </c>
      <c r="K118" s="4">
        <f t="shared" si="5"/>
        <v>975.75</v>
      </c>
    </row>
    <row r="119" spans="2:11" x14ac:dyDescent="0.2">
      <c r="B119" s="2">
        <v>43945</v>
      </c>
      <c r="C119" s="2">
        <f t="shared" si="3"/>
        <v>43951</v>
      </c>
      <c r="D119" s="16">
        <f t="shared" si="4"/>
        <v>2020</v>
      </c>
      <c r="E119" s="1" t="s">
        <v>12</v>
      </c>
      <c r="F119" s="1" t="s">
        <v>14</v>
      </c>
      <c r="G119" s="3">
        <v>2331.92</v>
      </c>
      <c r="H119" s="3">
        <v>2500.98</v>
      </c>
      <c r="I119" s="1">
        <v>30</v>
      </c>
      <c r="J119" s="4">
        <v>2.36</v>
      </c>
      <c r="K119" s="4">
        <f t="shared" si="5"/>
        <v>-169.05999999999995</v>
      </c>
    </row>
    <row r="120" spans="2:11" x14ac:dyDescent="0.2">
      <c r="B120" s="2">
        <v>43946</v>
      </c>
      <c r="C120" s="2">
        <f t="shared" si="3"/>
        <v>43951</v>
      </c>
      <c r="D120" s="16">
        <f t="shared" si="4"/>
        <v>2020</v>
      </c>
      <c r="E120" s="1" t="s">
        <v>9</v>
      </c>
      <c r="F120" s="1" t="s">
        <v>14</v>
      </c>
      <c r="G120" s="3">
        <v>7244.07</v>
      </c>
      <c r="H120" s="3">
        <v>4531.2299999999996</v>
      </c>
      <c r="I120" s="1">
        <v>77</v>
      </c>
      <c r="J120" s="4">
        <v>3.07</v>
      </c>
      <c r="K120" s="4">
        <f t="shared" si="5"/>
        <v>2712.84</v>
      </c>
    </row>
    <row r="121" spans="2:11" x14ac:dyDescent="0.2">
      <c r="B121" s="2">
        <v>43947</v>
      </c>
      <c r="C121" s="2">
        <f t="shared" si="3"/>
        <v>43951</v>
      </c>
      <c r="D121" s="16">
        <f t="shared" si="4"/>
        <v>2020</v>
      </c>
      <c r="E121" s="1" t="s">
        <v>11</v>
      </c>
      <c r="F121" s="1" t="s">
        <v>15</v>
      </c>
      <c r="G121" s="3">
        <v>5981.55</v>
      </c>
      <c r="H121" s="3">
        <v>2847.45</v>
      </c>
      <c r="I121" s="1">
        <v>59</v>
      </c>
      <c r="J121" s="4">
        <v>2.52</v>
      </c>
      <c r="K121" s="4">
        <f t="shared" si="5"/>
        <v>3134.1000000000004</v>
      </c>
    </row>
    <row r="122" spans="2:11" x14ac:dyDescent="0.2">
      <c r="B122" s="2">
        <v>43948</v>
      </c>
      <c r="C122" s="2">
        <f t="shared" si="3"/>
        <v>43951</v>
      </c>
      <c r="D122" s="16">
        <f t="shared" si="4"/>
        <v>2020</v>
      </c>
      <c r="E122" s="1" t="s">
        <v>10</v>
      </c>
      <c r="F122" s="1" t="s">
        <v>16</v>
      </c>
      <c r="G122" s="3">
        <v>4916.62</v>
      </c>
      <c r="H122" s="3">
        <v>3173.95</v>
      </c>
      <c r="I122" s="1">
        <v>42</v>
      </c>
      <c r="J122" s="4">
        <v>1.03</v>
      </c>
      <c r="K122" s="4">
        <f t="shared" si="5"/>
        <v>1742.67</v>
      </c>
    </row>
    <row r="123" spans="2:11" x14ac:dyDescent="0.2">
      <c r="B123" s="2">
        <v>43949</v>
      </c>
      <c r="C123" s="2">
        <f t="shared" si="3"/>
        <v>43951</v>
      </c>
      <c r="D123" s="16">
        <f t="shared" si="4"/>
        <v>2020</v>
      </c>
      <c r="E123" s="1" t="s">
        <v>12</v>
      </c>
      <c r="F123" s="1" t="s">
        <v>15</v>
      </c>
      <c r="G123" s="3">
        <v>5419.95</v>
      </c>
      <c r="H123" s="3">
        <v>3696.05</v>
      </c>
      <c r="I123" s="1">
        <v>16</v>
      </c>
      <c r="J123" s="4">
        <v>2.54</v>
      </c>
      <c r="K123" s="4">
        <f t="shared" si="5"/>
        <v>1723.8999999999996</v>
      </c>
    </row>
    <row r="124" spans="2:11" x14ac:dyDescent="0.2">
      <c r="B124" s="2">
        <v>43950</v>
      </c>
      <c r="C124" s="2">
        <f t="shared" si="3"/>
        <v>43951</v>
      </c>
      <c r="D124" s="16">
        <f t="shared" si="4"/>
        <v>2020</v>
      </c>
      <c r="E124" s="1" t="s">
        <v>11</v>
      </c>
      <c r="F124" s="1" t="s">
        <v>16</v>
      </c>
      <c r="G124" s="3">
        <v>3311.77</v>
      </c>
      <c r="H124" s="3">
        <v>3396.55</v>
      </c>
      <c r="I124" s="1">
        <v>79</v>
      </c>
      <c r="J124" s="4">
        <v>4.17</v>
      </c>
      <c r="K124" s="4">
        <f t="shared" si="5"/>
        <v>-84.7800000000002</v>
      </c>
    </row>
    <row r="125" spans="2:11" x14ac:dyDescent="0.2">
      <c r="B125" s="2">
        <v>43951</v>
      </c>
      <c r="C125" s="2">
        <f t="shared" si="3"/>
        <v>43951</v>
      </c>
      <c r="D125" s="16">
        <f t="shared" si="4"/>
        <v>2020</v>
      </c>
      <c r="E125" s="1" t="s">
        <v>11</v>
      </c>
      <c r="F125" s="1" t="s">
        <v>15</v>
      </c>
      <c r="G125" s="3">
        <v>8668.6299999999992</v>
      </c>
      <c r="H125" s="3">
        <v>3120.34</v>
      </c>
      <c r="I125" s="1">
        <v>24</v>
      </c>
      <c r="J125" s="4">
        <v>3.38</v>
      </c>
      <c r="K125" s="4">
        <f t="shared" si="5"/>
        <v>5548.2899999999991</v>
      </c>
    </row>
    <row r="126" spans="2:11" x14ac:dyDescent="0.2">
      <c r="B126" s="2">
        <v>43952</v>
      </c>
      <c r="C126" s="2">
        <f t="shared" si="3"/>
        <v>43982</v>
      </c>
      <c r="D126" s="16">
        <f t="shared" si="4"/>
        <v>2020</v>
      </c>
      <c r="E126" s="1" t="s">
        <v>8</v>
      </c>
      <c r="F126" s="1" t="s">
        <v>16</v>
      </c>
      <c r="G126" s="3">
        <v>5193.83</v>
      </c>
      <c r="H126" s="3">
        <v>3291.97</v>
      </c>
      <c r="I126" s="1">
        <v>91</v>
      </c>
      <c r="J126" s="4">
        <v>1.41</v>
      </c>
      <c r="K126" s="4">
        <f t="shared" si="5"/>
        <v>1901.8600000000001</v>
      </c>
    </row>
    <row r="127" spans="2:11" x14ac:dyDescent="0.2">
      <c r="B127" s="2">
        <v>43953</v>
      </c>
      <c r="C127" s="2">
        <f t="shared" si="3"/>
        <v>43982</v>
      </c>
      <c r="D127" s="16">
        <f t="shared" si="4"/>
        <v>2020</v>
      </c>
      <c r="E127" s="1" t="s">
        <v>9</v>
      </c>
      <c r="F127" s="1" t="s">
        <v>15</v>
      </c>
      <c r="G127" s="3">
        <v>5164.09</v>
      </c>
      <c r="H127" s="3">
        <v>4922.7299999999996</v>
      </c>
      <c r="I127" s="1">
        <v>41</v>
      </c>
      <c r="J127" s="4">
        <v>4.3899999999999997</v>
      </c>
      <c r="K127" s="4">
        <f t="shared" si="5"/>
        <v>241.36000000000058</v>
      </c>
    </row>
    <row r="128" spans="2:11" x14ac:dyDescent="0.2">
      <c r="B128" s="2">
        <v>43954</v>
      </c>
      <c r="C128" s="2">
        <f t="shared" si="3"/>
        <v>43982</v>
      </c>
      <c r="D128" s="16">
        <f t="shared" si="4"/>
        <v>2020</v>
      </c>
      <c r="E128" s="1" t="s">
        <v>10</v>
      </c>
      <c r="F128" s="1" t="s">
        <v>14</v>
      </c>
      <c r="G128" s="3">
        <v>6088.65</v>
      </c>
      <c r="H128" s="3">
        <v>2953.9</v>
      </c>
      <c r="I128" s="1">
        <v>84</v>
      </c>
      <c r="J128" s="4">
        <v>3.12</v>
      </c>
      <c r="K128" s="4">
        <f t="shared" si="5"/>
        <v>3134.7499999999995</v>
      </c>
    </row>
    <row r="129" spans="2:11" x14ac:dyDescent="0.2">
      <c r="B129" s="2">
        <v>43955</v>
      </c>
      <c r="C129" s="2">
        <f t="shared" si="3"/>
        <v>43982</v>
      </c>
      <c r="D129" s="16">
        <f t="shared" si="4"/>
        <v>2020</v>
      </c>
      <c r="E129" s="1" t="s">
        <v>12</v>
      </c>
      <c r="F129" s="1" t="s">
        <v>13</v>
      </c>
      <c r="G129" s="3">
        <v>5721.51</v>
      </c>
      <c r="H129" s="3">
        <v>3160.88</v>
      </c>
      <c r="I129" s="1">
        <v>29</v>
      </c>
      <c r="J129" s="4">
        <v>4.37</v>
      </c>
      <c r="K129" s="4">
        <f t="shared" si="5"/>
        <v>2560.63</v>
      </c>
    </row>
    <row r="130" spans="2:11" x14ac:dyDescent="0.2">
      <c r="B130" s="2">
        <v>43956</v>
      </c>
      <c r="C130" s="2">
        <f t="shared" si="3"/>
        <v>43982</v>
      </c>
      <c r="D130" s="16">
        <f t="shared" si="4"/>
        <v>2020</v>
      </c>
      <c r="E130" s="1" t="s">
        <v>8</v>
      </c>
      <c r="F130" s="1" t="s">
        <v>15</v>
      </c>
      <c r="G130" s="3">
        <v>5335.83</v>
      </c>
      <c r="H130" s="3">
        <v>3840.52</v>
      </c>
      <c r="I130" s="1">
        <v>97</v>
      </c>
      <c r="J130" s="4">
        <v>3.32</v>
      </c>
      <c r="K130" s="4">
        <f t="shared" si="5"/>
        <v>1495.31</v>
      </c>
    </row>
    <row r="131" spans="2:11" x14ac:dyDescent="0.2">
      <c r="B131" s="2">
        <v>43957</v>
      </c>
      <c r="C131" s="2">
        <f t="shared" si="3"/>
        <v>43982</v>
      </c>
      <c r="D131" s="16">
        <f t="shared" si="4"/>
        <v>2020</v>
      </c>
      <c r="E131" s="1" t="s">
        <v>9</v>
      </c>
      <c r="F131" s="1" t="s">
        <v>16</v>
      </c>
      <c r="G131" s="3">
        <v>3814.29</v>
      </c>
      <c r="H131" s="3">
        <v>3884.42</v>
      </c>
      <c r="I131" s="1">
        <v>24</v>
      </c>
      <c r="J131" s="4">
        <v>3.24</v>
      </c>
      <c r="K131" s="4">
        <f t="shared" si="5"/>
        <v>-70.130000000000109</v>
      </c>
    </row>
    <row r="132" spans="2:11" x14ac:dyDescent="0.2">
      <c r="B132" s="2">
        <v>43958</v>
      </c>
      <c r="C132" s="2">
        <f t="shared" si="3"/>
        <v>43982</v>
      </c>
      <c r="D132" s="16">
        <f t="shared" si="4"/>
        <v>2020</v>
      </c>
      <c r="E132" s="1" t="s">
        <v>8</v>
      </c>
      <c r="F132" s="1" t="s">
        <v>14</v>
      </c>
      <c r="G132" s="3">
        <v>5707.2</v>
      </c>
      <c r="H132" s="3">
        <v>3949.62</v>
      </c>
      <c r="I132" s="1">
        <v>57</v>
      </c>
      <c r="J132" s="4">
        <v>1.42</v>
      </c>
      <c r="K132" s="4">
        <f t="shared" si="5"/>
        <v>1757.58</v>
      </c>
    </row>
    <row r="133" spans="2:11" x14ac:dyDescent="0.2">
      <c r="B133" s="2">
        <v>43959</v>
      </c>
      <c r="C133" s="2">
        <f t="shared" si="3"/>
        <v>43982</v>
      </c>
      <c r="D133" s="16">
        <f t="shared" si="4"/>
        <v>2020</v>
      </c>
      <c r="E133" s="1" t="s">
        <v>9</v>
      </c>
      <c r="F133" s="1" t="s">
        <v>15</v>
      </c>
      <c r="G133" s="3">
        <v>7823.04</v>
      </c>
      <c r="H133" s="3">
        <v>3510.98</v>
      </c>
      <c r="I133" s="1">
        <v>80</v>
      </c>
      <c r="J133" s="4">
        <v>1.67</v>
      </c>
      <c r="K133" s="4">
        <f t="shared" si="5"/>
        <v>4312.0599999999995</v>
      </c>
    </row>
    <row r="134" spans="2:11" x14ac:dyDescent="0.2">
      <c r="B134" s="2">
        <v>43960</v>
      </c>
      <c r="C134" s="2">
        <f t="shared" ref="C134:C197" si="6">EOMONTH(B134,0)</f>
        <v>43982</v>
      </c>
      <c r="D134" s="16">
        <f t="shared" ref="D134:D197" si="7">YEAR(B134)</f>
        <v>2020</v>
      </c>
      <c r="E134" s="1" t="s">
        <v>9</v>
      </c>
      <c r="F134" s="1" t="s">
        <v>15</v>
      </c>
      <c r="G134" s="3">
        <v>7018.13</v>
      </c>
      <c r="H134" s="3">
        <v>2085.6</v>
      </c>
      <c r="I134" s="1">
        <v>30</v>
      </c>
      <c r="J134" s="4">
        <v>4.8899999999999997</v>
      </c>
      <c r="K134" s="4">
        <f t="shared" ref="K134:K197" si="8">G134-H134</f>
        <v>4932.5300000000007</v>
      </c>
    </row>
    <row r="135" spans="2:11" x14ac:dyDescent="0.2">
      <c r="B135" s="2">
        <v>43961</v>
      </c>
      <c r="C135" s="2">
        <f t="shared" si="6"/>
        <v>43982</v>
      </c>
      <c r="D135" s="16">
        <f t="shared" si="7"/>
        <v>2020</v>
      </c>
      <c r="E135" s="1" t="s">
        <v>10</v>
      </c>
      <c r="F135" s="1" t="s">
        <v>14</v>
      </c>
      <c r="G135" s="3">
        <v>7389.78</v>
      </c>
      <c r="H135" s="3">
        <v>4306.75</v>
      </c>
      <c r="I135" s="1">
        <v>51</v>
      </c>
      <c r="J135" s="4">
        <v>1.91</v>
      </c>
      <c r="K135" s="4">
        <f t="shared" si="8"/>
        <v>3083.0299999999997</v>
      </c>
    </row>
    <row r="136" spans="2:11" x14ac:dyDescent="0.2">
      <c r="B136" s="2">
        <v>43962</v>
      </c>
      <c r="C136" s="2">
        <f t="shared" si="6"/>
        <v>43982</v>
      </c>
      <c r="D136" s="16">
        <f t="shared" si="7"/>
        <v>2020</v>
      </c>
      <c r="E136" s="1" t="s">
        <v>9</v>
      </c>
      <c r="F136" s="1" t="s">
        <v>15</v>
      </c>
      <c r="G136" s="3">
        <v>4233.18</v>
      </c>
      <c r="H136" s="3">
        <v>2082.92</v>
      </c>
      <c r="I136" s="1">
        <v>35</v>
      </c>
      <c r="J136" s="4">
        <v>4.91</v>
      </c>
      <c r="K136" s="4">
        <f t="shared" si="8"/>
        <v>2150.2600000000002</v>
      </c>
    </row>
    <row r="137" spans="2:11" x14ac:dyDescent="0.2">
      <c r="B137" s="2">
        <v>43963</v>
      </c>
      <c r="C137" s="2">
        <f t="shared" si="6"/>
        <v>43982</v>
      </c>
      <c r="D137" s="16">
        <f t="shared" si="7"/>
        <v>2020</v>
      </c>
      <c r="E137" s="1" t="s">
        <v>8</v>
      </c>
      <c r="F137" s="1" t="s">
        <v>13</v>
      </c>
      <c r="G137" s="3">
        <v>3515.59</v>
      </c>
      <c r="H137" s="3">
        <v>3242.11</v>
      </c>
      <c r="I137" s="1">
        <v>23</v>
      </c>
      <c r="J137" s="4">
        <v>3.13</v>
      </c>
      <c r="K137" s="4">
        <f t="shared" si="8"/>
        <v>273.48</v>
      </c>
    </row>
    <row r="138" spans="2:11" x14ac:dyDescent="0.2">
      <c r="B138" s="2">
        <v>43964</v>
      </c>
      <c r="C138" s="2">
        <f t="shared" si="6"/>
        <v>43982</v>
      </c>
      <c r="D138" s="16">
        <f t="shared" si="7"/>
        <v>2020</v>
      </c>
      <c r="E138" s="1" t="s">
        <v>9</v>
      </c>
      <c r="F138" s="1" t="s">
        <v>15</v>
      </c>
      <c r="G138" s="3">
        <v>4811.32</v>
      </c>
      <c r="H138" s="3">
        <v>2396.58</v>
      </c>
      <c r="I138" s="1">
        <v>66</v>
      </c>
      <c r="J138" s="4">
        <v>1.54</v>
      </c>
      <c r="K138" s="4">
        <f t="shared" si="8"/>
        <v>2414.7399999999998</v>
      </c>
    </row>
    <row r="139" spans="2:11" x14ac:dyDescent="0.2">
      <c r="B139" s="2">
        <v>43965</v>
      </c>
      <c r="C139" s="2">
        <f t="shared" si="6"/>
        <v>43982</v>
      </c>
      <c r="D139" s="16">
        <f t="shared" si="7"/>
        <v>2020</v>
      </c>
      <c r="E139" s="1" t="s">
        <v>10</v>
      </c>
      <c r="F139" s="1" t="s">
        <v>13</v>
      </c>
      <c r="G139" s="3">
        <v>5083.59</v>
      </c>
      <c r="H139" s="3">
        <v>2948.69</v>
      </c>
      <c r="I139" s="1">
        <v>46</v>
      </c>
      <c r="J139" s="4">
        <v>1.4</v>
      </c>
      <c r="K139" s="4">
        <f t="shared" si="8"/>
        <v>2134.9</v>
      </c>
    </row>
    <row r="140" spans="2:11" x14ac:dyDescent="0.2">
      <c r="B140" s="2">
        <v>43966</v>
      </c>
      <c r="C140" s="2">
        <f t="shared" si="6"/>
        <v>43982</v>
      </c>
      <c r="D140" s="16">
        <f t="shared" si="7"/>
        <v>2020</v>
      </c>
      <c r="E140" s="1" t="s">
        <v>10</v>
      </c>
      <c r="F140" s="1" t="s">
        <v>13</v>
      </c>
      <c r="G140" s="3">
        <v>6641.29</v>
      </c>
      <c r="H140" s="3">
        <v>3263.01</v>
      </c>
      <c r="I140" s="1">
        <v>67</v>
      </c>
      <c r="J140" s="4">
        <v>1.84</v>
      </c>
      <c r="K140" s="4">
        <f t="shared" si="8"/>
        <v>3378.2799999999997</v>
      </c>
    </row>
    <row r="141" spans="2:11" x14ac:dyDescent="0.2">
      <c r="B141" s="2">
        <v>43967</v>
      </c>
      <c r="C141" s="2">
        <f t="shared" si="6"/>
        <v>43982</v>
      </c>
      <c r="D141" s="16">
        <f t="shared" si="7"/>
        <v>2020</v>
      </c>
      <c r="E141" s="1" t="s">
        <v>8</v>
      </c>
      <c r="F141" s="1" t="s">
        <v>14</v>
      </c>
      <c r="G141" s="3">
        <v>2461.3000000000002</v>
      </c>
      <c r="H141" s="3">
        <v>3257.09</v>
      </c>
      <c r="I141" s="1">
        <v>30</v>
      </c>
      <c r="J141" s="4">
        <v>4.7</v>
      </c>
      <c r="K141" s="4">
        <f t="shared" si="8"/>
        <v>-795.79</v>
      </c>
    </row>
    <row r="142" spans="2:11" x14ac:dyDescent="0.2">
      <c r="B142" s="2">
        <v>43968</v>
      </c>
      <c r="C142" s="2">
        <f t="shared" si="6"/>
        <v>43982</v>
      </c>
      <c r="D142" s="16">
        <f t="shared" si="7"/>
        <v>2020</v>
      </c>
      <c r="E142" s="1" t="s">
        <v>11</v>
      </c>
      <c r="F142" s="1" t="s">
        <v>15</v>
      </c>
      <c r="G142" s="3">
        <v>7294.33</v>
      </c>
      <c r="H142" s="3">
        <v>3337.54</v>
      </c>
      <c r="I142" s="1">
        <v>91</v>
      </c>
      <c r="J142" s="4">
        <v>2.66</v>
      </c>
      <c r="K142" s="4">
        <f t="shared" si="8"/>
        <v>3956.79</v>
      </c>
    </row>
    <row r="143" spans="2:11" x14ac:dyDescent="0.2">
      <c r="B143" s="2">
        <v>43969</v>
      </c>
      <c r="C143" s="2">
        <f t="shared" si="6"/>
        <v>43982</v>
      </c>
      <c r="D143" s="16">
        <f t="shared" si="7"/>
        <v>2020</v>
      </c>
      <c r="E143" s="1" t="s">
        <v>11</v>
      </c>
      <c r="F143" s="1" t="s">
        <v>14</v>
      </c>
      <c r="G143" s="3">
        <v>4762.99</v>
      </c>
      <c r="H143" s="3">
        <v>4290.97</v>
      </c>
      <c r="I143" s="1">
        <v>78</v>
      </c>
      <c r="J143" s="4">
        <v>2.58</v>
      </c>
      <c r="K143" s="4">
        <f t="shared" si="8"/>
        <v>472.01999999999953</v>
      </c>
    </row>
    <row r="144" spans="2:11" x14ac:dyDescent="0.2">
      <c r="B144" s="2">
        <v>43970</v>
      </c>
      <c r="C144" s="2">
        <f t="shared" si="6"/>
        <v>43982</v>
      </c>
      <c r="D144" s="16">
        <f t="shared" si="7"/>
        <v>2020</v>
      </c>
      <c r="E144" s="1" t="s">
        <v>9</v>
      </c>
      <c r="F144" s="1" t="s">
        <v>15</v>
      </c>
      <c r="G144" s="3">
        <v>4359.68</v>
      </c>
      <c r="H144" s="3">
        <v>3362.83</v>
      </c>
      <c r="I144" s="1">
        <v>12</v>
      </c>
      <c r="J144" s="4">
        <v>2.25</v>
      </c>
      <c r="K144" s="4">
        <f t="shared" si="8"/>
        <v>996.85000000000036</v>
      </c>
    </row>
    <row r="145" spans="2:11" x14ac:dyDescent="0.2">
      <c r="B145" s="2">
        <v>43971</v>
      </c>
      <c r="C145" s="2">
        <f t="shared" si="6"/>
        <v>43982</v>
      </c>
      <c r="D145" s="16">
        <f t="shared" si="7"/>
        <v>2020</v>
      </c>
      <c r="E145" s="1" t="s">
        <v>12</v>
      </c>
      <c r="F145" s="1" t="s">
        <v>15</v>
      </c>
      <c r="G145" s="3">
        <v>3481.84</v>
      </c>
      <c r="H145" s="3">
        <v>2804.67</v>
      </c>
      <c r="I145" s="1">
        <v>96</v>
      </c>
      <c r="J145" s="4">
        <v>1.59</v>
      </c>
      <c r="K145" s="4">
        <f t="shared" si="8"/>
        <v>677.17000000000007</v>
      </c>
    </row>
    <row r="146" spans="2:11" x14ac:dyDescent="0.2">
      <c r="B146" s="2">
        <v>43972</v>
      </c>
      <c r="C146" s="2">
        <f t="shared" si="6"/>
        <v>43982</v>
      </c>
      <c r="D146" s="16">
        <f t="shared" si="7"/>
        <v>2020</v>
      </c>
      <c r="E146" s="1" t="s">
        <v>9</v>
      </c>
      <c r="F146" s="1" t="s">
        <v>16</v>
      </c>
      <c r="G146" s="3">
        <v>2517.71</v>
      </c>
      <c r="H146" s="3">
        <v>3771.27</v>
      </c>
      <c r="I146" s="1">
        <v>99</v>
      </c>
      <c r="J146" s="4">
        <v>2.95</v>
      </c>
      <c r="K146" s="4">
        <f t="shared" si="8"/>
        <v>-1253.56</v>
      </c>
    </row>
    <row r="147" spans="2:11" x14ac:dyDescent="0.2">
      <c r="B147" s="2">
        <v>43973</v>
      </c>
      <c r="C147" s="2">
        <f t="shared" si="6"/>
        <v>43982</v>
      </c>
      <c r="D147" s="16">
        <f t="shared" si="7"/>
        <v>2020</v>
      </c>
      <c r="E147" s="1" t="s">
        <v>8</v>
      </c>
      <c r="F147" s="1" t="s">
        <v>15</v>
      </c>
      <c r="G147" s="3">
        <v>6234.76</v>
      </c>
      <c r="H147" s="3">
        <v>3951.58</v>
      </c>
      <c r="I147" s="1">
        <v>46</v>
      </c>
      <c r="J147" s="4">
        <v>1.52</v>
      </c>
      <c r="K147" s="4">
        <f t="shared" si="8"/>
        <v>2283.1800000000003</v>
      </c>
    </row>
    <row r="148" spans="2:11" x14ac:dyDescent="0.2">
      <c r="B148" s="2">
        <v>43974</v>
      </c>
      <c r="C148" s="2">
        <f t="shared" si="6"/>
        <v>43982</v>
      </c>
      <c r="D148" s="16">
        <f t="shared" si="7"/>
        <v>2020</v>
      </c>
      <c r="E148" s="1" t="s">
        <v>8</v>
      </c>
      <c r="F148" s="1" t="s">
        <v>14</v>
      </c>
      <c r="G148" s="3">
        <v>5109.9799999999996</v>
      </c>
      <c r="H148" s="3">
        <v>2017.91</v>
      </c>
      <c r="I148" s="1">
        <v>97</v>
      </c>
      <c r="J148" s="4">
        <v>4.34</v>
      </c>
      <c r="K148" s="4">
        <f t="shared" si="8"/>
        <v>3092.0699999999997</v>
      </c>
    </row>
    <row r="149" spans="2:11" x14ac:dyDescent="0.2">
      <c r="B149" s="2">
        <v>43975</v>
      </c>
      <c r="C149" s="2">
        <f t="shared" si="6"/>
        <v>43982</v>
      </c>
      <c r="D149" s="16">
        <f t="shared" si="7"/>
        <v>2020</v>
      </c>
      <c r="E149" s="1" t="s">
        <v>8</v>
      </c>
      <c r="F149" s="1" t="s">
        <v>13</v>
      </c>
      <c r="G149" s="3">
        <v>3065.06</v>
      </c>
      <c r="H149" s="3">
        <v>3477.92</v>
      </c>
      <c r="I149" s="1">
        <v>58</v>
      </c>
      <c r="J149" s="4">
        <v>2.48</v>
      </c>
      <c r="K149" s="4">
        <f t="shared" si="8"/>
        <v>-412.86000000000013</v>
      </c>
    </row>
    <row r="150" spans="2:11" x14ac:dyDescent="0.2">
      <c r="B150" s="2">
        <v>43976</v>
      </c>
      <c r="C150" s="2">
        <f t="shared" si="6"/>
        <v>43982</v>
      </c>
      <c r="D150" s="16">
        <f t="shared" si="7"/>
        <v>2020</v>
      </c>
      <c r="E150" s="1" t="s">
        <v>8</v>
      </c>
      <c r="F150" s="1" t="s">
        <v>15</v>
      </c>
      <c r="G150" s="3">
        <v>3057.38</v>
      </c>
      <c r="H150" s="3">
        <v>3560.94</v>
      </c>
      <c r="I150" s="1">
        <v>28</v>
      </c>
      <c r="J150" s="4">
        <v>2.5</v>
      </c>
      <c r="K150" s="4">
        <f t="shared" si="8"/>
        <v>-503.55999999999995</v>
      </c>
    </row>
    <row r="151" spans="2:11" x14ac:dyDescent="0.2">
      <c r="B151" s="2">
        <v>43977</v>
      </c>
      <c r="C151" s="2">
        <f t="shared" si="6"/>
        <v>43982</v>
      </c>
      <c r="D151" s="16">
        <f t="shared" si="7"/>
        <v>2020</v>
      </c>
      <c r="E151" s="1" t="s">
        <v>8</v>
      </c>
      <c r="F151" s="1" t="s">
        <v>16</v>
      </c>
      <c r="G151" s="3">
        <v>4496.32</v>
      </c>
      <c r="H151" s="3">
        <v>2761.95</v>
      </c>
      <c r="I151" s="1">
        <v>98</v>
      </c>
      <c r="J151" s="4">
        <v>2.9</v>
      </c>
      <c r="K151" s="4">
        <f t="shared" si="8"/>
        <v>1734.37</v>
      </c>
    </row>
    <row r="152" spans="2:11" x14ac:dyDescent="0.2">
      <c r="B152" s="2">
        <v>43978</v>
      </c>
      <c r="C152" s="2">
        <f t="shared" si="6"/>
        <v>43982</v>
      </c>
      <c r="D152" s="16">
        <f t="shared" si="7"/>
        <v>2020</v>
      </c>
      <c r="E152" s="1" t="s">
        <v>10</v>
      </c>
      <c r="F152" s="1" t="s">
        <v>14</v>
      </c>
      <c r="G152" s="3">
        <v>7503.53</v>
      </c>
      <c r="H152" s="3">
        <v>4100.57</v>
      </c>
      <c r="I152" s="1">
        <v>94</v>
      </c>
      <c r="J152" s="4">
        <v>2.78</v>
      </c>
      <c r="K152" s="4">
        <f t="shared" si="8"/>
        <v>3402.96</v>
      </c>
    </row>
    <row r="153" spans="2:11" x14ac:dyDescent="0.2">
      <c r="B153" s="2">
        <v>43979</v>
      </c>
      <c r="C153" s="2">
        <f t="shared" si="6"/>
        <v>43982</v>
      </c>
      <c r="D153" s="16">
        <f t="shared" si="7"/>
        <v>2020</v>
      </c>
      <c r="E153" s="1" t="s">
        <v>11</v>
      </c>
      <c r="F153" s="1" t="s">
        <v>15</v>
      </c>
      <c r="G153" s="3">
        <v>4610.6099999999997</v>
      </c>
      <c r="H153" s="3">
        <v>2879.96</v>
      </c>
      <c r="I153" s="1">
        <v>21</v>
      </c>
      <c r="J153" s="4">
        <v>4.9800000000000004</v>
      </c>
      <c r="K153" s="4">
        <f t="shared" si="8"/>
        <v>1730.6499999999996</v>
      </c>
    </row>
    <row r="154" spans="2:11" x14ac:dyDescent="0.2">
      <c r="B154" s="2">
        <v>43980</v>
      </c>
      <c r="C154" s="2">
        <f t="shared" si="6"/>
        <v>43982</v>
      </c>
      <c r="D154" s="16">
        <f t="shared" si="7"/>
        <v>2020</v>
      </c>
      <c r="E154" s="1" t="s">
        <v>8</v>
      </c>
      <c r="F154" s="1" t="s">
        <v>14</v>
      </c>
      <c r="G154" s="3">
        <v>2745.29</v>
      </c>
      <c r="H154" s="3">
        <v>3100.46</v>
      </c>
      <c r="I154" s="1">
        <v>70</v>
      </c>
      <c r="J154" s="4">
        <v>3.18</v>
      </c>
      <c r="K154" s="4">
        <f t="shared" si="8"/>
        <v>-355.17000000000007</v>
      </c>
    </row>
    <row r="155" spans="2:11" x14ac:dyDescent="0.2">
      <c r="B155" s="2">
        <v>43981</v>
      </c>
      <c r="C155" s="2">
        <f t="shared" si="6"/>
        <v>43982</v>
      </c>
      <c r="D155" s="16">
        <f t="shared" si="7"/>
        <v>2020</v>
      </c>
      <c r="E155" s="1" t="s">
        <v>12</v>
      </c>
      <c r="F155" s="1" t="s">
        <v>16</v>
      </c>
      <c r="G155" s="3">
        <v>4631.3900000000003</v>
      </c>
      <c r="H155" s="3">
        <v>2861.54</v>
      </c>
      <c r="I155" s="1">
        <v>50</v>
      </c>
      <c r="J155" s="4">
        <v>1.35</v>
      </c>
      <c r="K155" s="4">
        <f t="shared" si="8"/>
        <v>1769.8500000000004</v>
      </c>
    </row>
    <row r="156" spans="2:11" x14ac:dyDescent="0.2">
      <c r="B156" s="2">
        <v>43982</v>
      </c>
      <c r="C156" s="2">
        <f t="shared" si="6"/>
        <v>43982</v>
      </c>
      <c r="D156" s="16">
        <f t="shared" si="7"/>
        <v>2020</v>
      </c>
      <c r="E156" s="1" t="s">
        <v>12</v>
      </c>
      <c r="F156" s="1" t="s">
        <v>16</v>
      </c>
      <c r="G156" s="3">
        <v>4590.91</v>
      </c>
      <c r="H156" s="3">
        <v>3012.46</v>
      </c>
      <c r="I156" s="1">
        <v>42</v>
      </c>
      <c r="J156" s="4">
        <v>3.43</v>
      </c>
      <c r="K156" s="4">
        <f t="shared" si="8"/>
        <v>1578.4499999999998</v>
      </c>
    </row>
    <row r="157" spans="2:11" x14ac:dyDescent="0.2">
      <c r="B157" s="2">
        <v>43983</v>
      </c>
      <c r="C157" s="2">
        <f t="shared" si="6"/>
        <v>44012</v>
      </c>
      <c r="D157" s="16">
        <f t="shared" si="7"/>
        <v>2020</v>
      </c>
      <c r="E157" s="1" t="s">
        <v>12</v>
      </c>
      <c r="F157" s="1" t="s">
        <v>14</v>
      </c>
      <c r="G157" s="3">
        <v>954.67</v>
      </c>
      <c r="H157" s="3">
        <v>2122.98</v>
      </c>
      <c r="I157" s="1">
        <v>59</v>
      </c>
      <c r="J157" s="4">
        <v>1.61</v>
      </c>
      <c r="K157" s="4">
        <f t="shared" si="8"/>
        <v>-1168.31</v>
      </c>
    </row>
    <row r="158" spans="2:11" x14ac:dyDescent="0.2">
      <c r="B158" s="2">
        <v>43984</v>
      </c>
      <c r="C158" s="2">
        <f t="shared" si="6"/>
        <v>44012</v>
      </c>
      <c r="D158" s="16">
        <f t="shared" si="7"/>
        <v>2020</v>
      </c>
      <c r="E158" s="1" t="s">
        <v>12</v>
      </c>
      <c r="F158" s="1" t="s">
        <v>15</v>
      </c>
      <c r="G158" s="3">
        <v>4918.5600000000004</v>
      </c>
      <c r="H158" s="3">
        <v>1847.96</v>
      </c>
      <c r="I158" s="1">
        <v>77</v>
      </c>
      <c r="J158" s="4">
        <v>1.1200000000000001</v>
      </c>
      <c r="K158" s="4">
        <f t="shared" si="8"/>
        <v>3070.6000000000004</v>
      </c>
    </row>
    <row r="159" spans="2:11" x14ac:dyDescent="0.2">
      <c r="B159" s="2">
        <v>43985</v>
      </c>
      <c r="C159" s="2">
        <f t="shared" si="6"/>
        <v>44012</v>
      </c>
      <c r="D159" s="16">
        <f t="shared" si="7"/>
        <v>2020</v>
      </c>
      <c r="E159" s="1" t="s">
        <v>10</v>
      </c>
      <c r="F159" s="1" t="s">
        <v>13</v>
      </c>
      <c r="G159" s="3">
        <v>4653.6000000000004</v>
      </c>
      <c r="H159" s="3">
        <v>4275.6000000000004</v>
      </c>
      <c r="I159" s="1">
        <v>80</v>
      </c>
      <c r="J159" s="4">
        <v>4.88</v>
      </c>
      <c r="K159" s="4">
        <f t="shared" si="8"/>
        <v>378</v>
      </c>
    </row>
    <row r="160" spans="2:11" x14ac:dyDescent="0.2">
      <c r="B160" s="2">
        <v>43986</v>
      </c>
      <c r="C160" s="2">
        <f t="shared" si="6"/>
        <v>44012</v>
      </c>
      <c r="D160" s="16">
        <f t="shared" si="7"/>
        <v>2020</v>
      </c>
      <c r="E160" s="1" t="s">
        <v>12</v>
      </c>
      <c r="F160" s="1" t="s">
        <v>16</v>
      </c>
      <c r="G160" s="3">
        <v>6044.31</v>
      </c>
      <c r="H160" s="3">
        <v>2322.4299999999998</v>
      </c>
      <c r="I160" s="1">
        <v>95</v>
      </c>
      <c r="J160" s="4">
        <v>4.09</v>
      </c>
      <c r="K160" s="4">
        <f t="shared" si="8"/>
        <v>3721.8800000000006</v>
      </c>
    </row>
    <row r="161" spans="2:11" x14ac:dyDescent="0.2">
      <c r="B161" s="2">
        <v>43987</v>
      </c>
      <c r="C161" s="2">
        <f t="shared" si="6"/>
        <v>44012</v>
      </c>
      <c r="D161" s="16">
        <f t="shared" si="7"/>
        <v>2020</v>
      </c>
      <c r="E161" s="1" t="s">
        <v>8</v>
      </c>
      <c r="F161" s="1" t="s">
        <v>15</v>
      </c>
      <c r="G161" s="3">
        <v>7773.43</v>
      </c>
      <c r="H161" s="3">
        <v>2206.89</v>
      </c>
      <c r="I161" s="1">
        <v>42</v>
      </c>
      <c r="J161" s="4">
        <v>4.92</v>
      </c>
      <c r="K161" s="4">
        <f t="shared" si="8"/>
        <v>5566.5400000000009</v>
      </c>
    </row>
    <row r="162" spans="2:11" x14ac:dyDescent="0.2">
      <c r="B162" s="2">
        <v>43988</v>
      </c>
      <c r="C162" s="2">
        <f t="shared" si="6"/>
        <v>44012</v>
      </c>
      <c r="D162" s="16">
        <f t="shared" si="7"/>
        <v>2020</v>
      </c>
      <c r="E162" s="1" t="s">
        <v>9</v>
      </c>
      <c r="F162" s="1" t="s">
        <v>15</v>
      </c>
      <c r="G162" s="3">
        <v>6689.85</v>
      </c>
      <c r="H162" s="3">
        <v>1277.29</v>
      </c>
      <c r="I162" s="1">
        <v>90</v>
      </c>
      <c r="J162" s="4">
        <v>2.91</v>
      </c>
      <c r="K162" s="4">
        <f t="shared" si="8"/>
        <v>5412.56</v>
      </c>
    </row>
    <row r="163" spans="2:11" x14ac:dyDescent="0.2">
      <c r="B163" s="2">
        <v>43989</v>
      </c>
      <c r="C163" s="2">
        <f t="shared" si="6"/>
        <v>44012</v>
      </c>
      <c r="D163" s="16">
        <f t="shared" si="7"/>
        <v>2020</v>
      </c>
      <c r="E163" s="1" t="s">
        <v>12</v>
      </c>
      <c r="F163" s="1" t="s">
        <v>13</v>
      </c>
      <c r="G163" s="3">
        <v>4596.67</v>
      </c>
      <c r="H163" s="3">
        <v>2488.83</v>
      </c>
      <c r="I163" s="1">
        <v>33</v>
      </c>
      <c r="J163" s="4">
        <v>3.13</v>
      </c>
      <c r="K163" s="4">
        <f t="shared" si="8"/>
        <v>2107.84</v>
      </c>
    </row>
    <row r="164" spans="2:11" x14ac:dyDescent="0.2">
      <c r="B164" s="2">
        <v>43990</v>
      </c>
      <c r="C164" s="2">
        <f t="shared" si="6"/>
        <v>44012</v>
      </c>
      <c r="D164" s="16">
        <f t="shared" si="7"/>
        <v>2020</v>
      </c>
      <c r="E164" s="1" t="s">
        <v>10</v>
      </c>
      <c r="F164" s="1" t="s">
        <v>16</v>
      </c>
      <c r="G164" s="3">
        <v>3340.21</v>
      </c>
      <c r="H164" s="3">
        <v>1941.53</v>
      </c>
      <c r="I164" s="1">
        <v>70</v>
      </c>
      <c r="J164" s="4">
        <v>1.67</v>
      </c>
      <c r="K164" s="4">
        <f t="shared" si="8"/>
        <v>1398.68</v>
      </c>
    </row>
    <row r="165" spans="2:11" x14ac:dyDescent="0.2">
      <c r="B165" s="2">
        <v>43991</v>
      </c>
      <c r="C165" s="2">
        <f t="shared" si="6"/>
        <v>44012</v>
      </c>
      <c r="D165" s="16">
        <f t="shared" si="7"/>
        <v>2020</v>
      </c>
      <c r="E165" s="1" t="s">
        <v>10</v>
      </c>
      <c r="F165" s="1" t="s">
        <v>16</v>
      </c>
      <c r="G165" s="3">
        <v>8860.0400000000009</v>
      </c>
      <c r="H165" s="3">
        <v>4313.6099999999997</v>
      </c>
      <c r="I165" s="1">
        <v>70</v>
      </c>
      <c r="J165" s="4">
        <v>1.99</v>
      </c>
      <c r="K165" s="4">
        <f t="shared" si="8"/>
        <v>4546.4300000000012</v>
      </c>
    </row>
    <row r="166" spans="2:11" x14ac:dyDescent="0.2">
      <c r="B166" s="2">
        <v>43992</v>
      </c>
      <c r="C166" s="2">
        <f t="shared" si="6"/>
        <v>44012</v>
      </c>
      <c r="D166" s="16">
        <f t="shared" si="7"/>
        <v>2020</v>
      </c>
      <c r="E166" s="1" t="s">
        <v>12</v>
      </c>
      <c r="F166" s="1" t="s">
        <v>15</v>
      </c>
      <c r="G166" s="3">
        <v>5088.83</v>
      </c>
      <c r="H166" s="3">
        <v>3807.85</v>
      </c>
      <c r="I166" s="1">
        <v>37</v>
      </c>
      <c r="J166" s="4">
        <v>4.3499999999999996</v>
      </c>
      <c r="K166" s="4">
        <f t="shared" si="8"/>
        <v>1280.98</v>
      </c>
    </row>
    <row r="167" spans="2:11" x14ac:dyDescent="0.2">
      <c r="B167" s="2">
        <v>43993</v>
      </c>
      <c r="C167" s="2">
        <f t="shared" si="6"/>
        <v>44012</v>
      </c>
      <c r="D167" s="16">
        <f t="shared" si="7"/>
        <v>2020</v>
      </c>
      <c r="E167" s="1" t="s">
        <v>9</v>
      </c>
      <c r="F167" s="1" t="s">
        <v>15</v>
      </c>
      <c r="G167" s="3">
        <v>5020.8900000000003</v>
      </c>
      <c r="H167" s="3">
        <v>2449.48</v>
      </c>
      <c r="I167" s="1">
        <v>67</v>
      </c>
      <c r="J167" s="4">
        <v>2.42</v>
      </c>
      <c r="K167" s="4">
        <f t="shared" si="8"/>
        <v>2571.4100000000003</v>
      </c>
    </row>
    <row r="168" spans="2:11" x14ac:dyDescent="0.2">
      <c r="B168" s="2">
        <v>43994</v>
      </c>
      <c r="C168" s="2">
        <f t="shared" si="6"/>
        <v>44012</v>
      </c>
      <c r="D168" s="16">
        <f t="shared" si="7"/>
        <v>2020</v>
      </c>
      <c r="E168" s="1" t="s">
        <v>12</v>
      </c>
      <c r="F168" s="1" t="s">
        <v>13</v>
      </c>
      <c r="G168" s="3">
        <v>4963.8100000000004</v>
      </c>
      <c r="H168" s="3">
        <v>4801.95</v>
      </c>
      <c r="I168" s="1">
        <v>52</v>
      </c>
      <c r="J168" s="4">
        <v>4.3099999999999996</v>
      </c>
      <c r="K168" s="4">
        <f t="shared" si="8"/>
        <v>161.86000000000058</v>
      </c>
    </row>
    <row r="169" spans="2:11" x14ac:dyDescent="0.2">
      <c r="B169" s="2">
        <v>43995</v>
      </c>
      <c r="C169" s="2">
        <f t="shared" si="6"/>
        <v>44012</v>
      </c>
      <c r="D169" s="16">
        <f t="shared" si="7"/>
        <v>2020</v>
      </c>
      <c r="E169" s="1" t="s">
        <v>10</v>
      </c>
      <c r="F169" s="1" t="s">
        <v>13</v>
      </c>
      <c r="G169" s="3">
        <v>5297.13</v>
      </c>
      <c r="H169" s="3">
        <v>3785.41</v>
      </c>
      <c r="I169" s="1">
        <v>50</v>
      </c>
      <c r="J169" s="4">
        <v>3.84</v>
      </c>
      <c r="K169" s="4">
        <f t="shared" si="8"/>
        <v>1511.7200000000003</v>
      </c>
    </row>
    <row r="170" spans="2:11" x14ac:dyDescent="0.2">
      <c r="B170" s="2">
        <v>43996</v>
      </c>
      <c r="C170" s="2">
        <f t="shared" si="6"/>
        <v>44012</v>
      </c>
      <c r="D170" s="16">
        <f t="shared" si="7"/>
        <v>2020</v>
      </c>
      <c r="E170" s="1" t="s">
        <v>11</v>
      </c>
      <c r="F170" s="1" t="s">
        <v>16</v>
      </c>
      <c r="G170" s="3">
        <v>4783.46</v>
      </c>
      <c r="H170" s="3">
        <v>2740.13</v>
      </c>
      <c r="I170" s="1">
        <v>48</v>
      </c>
      <c r="J170" s="4">
        <v>1.71</v>
      </c>
      <c r="K170" s="4">
        <f t="shared" si="8"/>
        <v>2043.33</v>
      </c>
    </row>
    <row r="171" spans="2:11" x14ac:dyDescent="0.2">
      <c r="B171" s="2">
        <v>43997</v>
      </c>
      <c r="C171" s="2">
        <f t="shared" si="6"/>
        <v>44012</v>
      </c>
      <c r="D171" s="16">
        <f t="shared" si="7"/>
        <v>2020</v>
      </c>
      <c r="E171" s="1" t="s">
        <v>8</v>
      </c>
      <c r="F171" s="1" t="s">
        <v>14</v>
      </c>
      <c r="G171" s="3">
        <v>4139.51</v>
      </c>
      <c r="H171" s="3">
        <v>1000.48</v>
      </c>
      <c r="I171" s="1">
        <v>95</v>
      </c>
      <c r="J171" s="4">
        <v>3.03</v>
      </c>
      <c r="K171" s="4">
        <f t="shared" si="8"/>
        <v>3139.03</v>
      </c>
    </row>
    <row r="172" spans="2:11" x14ac:dyDescent="0.2">
      <c r="B172" s="2">
        <v>43998</v>
      </c>
      <c r="C172" s="2">
        <f t="shared" si="6"/>
        <v>44012</v>
      </c>
      <c r="D172" s="16">
        <f t="shared" si="7"/>
        <v>2020</v>
      </c>
      <c r="E172" s="1" t="s">
        <v>10</v>
      </c>
      <c r="F172" s="1" t="s">
        <v>16</v>
      </c>
      <c r="G172" s="3">
        <v>4179.71</v>
      </c>
      <c r="H172" s="3">
        <v>4832.75</v>
      </c>
      <c r="I172" s="1">
        <v>58</v>
      </c>
      <c r="J172" s="4">
        <v>3.71</v>
      </c>
      <c r="K172" s="4">
        <f t="shared" si="8"/>
        <v>-653.04</v>
      </c>
    </row>
    <row r="173" spans="2:11" x14ac:dyDescent="0.2">
      <c r="B173" s="2">
        <v>43999</v>
      </c>
      <c r="C173" s="2">
        <f t="shared" si="6"/>
        <v>44012</v>
      </c>
      <c r="D173" s="16">
        <f t="shared" si="7"/>
        <v>2020</v>
      </c>
      <c r="E173" s="1" t="s">
        <v>12</v>
      </c>
      <c r="F173" s="1" t="s">
        <v>15</v>
      </c>
      <c r="G173" s="3">
        <v>4950.87</v>
      </c>
      <c r="H173" s="3">
        <v>1888.34</v>
      </c>
      <c r="I173" s="1">
        <v>26</v>
      </c>
      <c r="J173" s="4">
        <v>1.94</v>
      </c>
      <c r="K173" s="4">
        <f t="shared" si="8"/>
        <v>3062.5299999999997</v>
      </c>
    </row>
    <row r="174" spans="2:11" x14ac:dyDescent="0.2">
      <c r="B174" s="2">
        <v>44000</v>
      </c>
      <c r="C174" s="2">
        <f t="shared" si="6"/>
        <v>44012</v>
      </c>
      <c r="D174" s="16">
        <f t="shared" si="7"/>
        <v>2020</v>
      </c>
      <c r="E174" s="1" t="s">
        <v>8</v>
      </c>
      <c r="F174" s="1" t="s">
        <v>16</v>
      </c>
      <c r="G174" s="3">
        <v>4184.8599999999997</v>
      </c>
      <c r="H174" s="3">
        <v>1683.68</v>
      </c>
      <c r="I174" s="1">
        <v>79</v>
      </c>
      <c r="J174" s="4">
        <v>4.32</v>
      </c>
      <c r="K174" s="4">
        <f t="shared" si="8"/>
        <v>2501.1799999999994</v>
      </c>
    </row>
    <row r="175" spans="2:11" x14ac:dyDescent="0.2">
      <c r="B175" s="2">
        <v>44001</v>
      </c>
      <c r="C175" s="2">
        <f t="shared" si="6"/>
        <v>44012</v>
      </c>
      <c r="D175" s="16">
        <f t="shared" si="7"/>
        <v>2020</v>
      </c>
      <c r="E175" s="1" t="s">
        <v>12</v>
      </c>
      <c r="F175" s="1" t="s">
        <v>14</v>
      </c>
      <c r="G175" s="3">
        <v>3930.73</v>
      </c>
      <c r="H175" s="3">
        <v>3818.06</v>
      </c>
      <c r="I175" s="1">
        <v>79</v>
      </c>
      <c r="J175" s="4">
        <v>3.18</v>
      </c>
      <c r="K175" s="4">
        <f t="shared" si="8"/>
        <v>112.67000000000007</v>
      </c>
    </row>
    <row r="176" spans="2:11" x14ac:dyDescent="0.2">
      <c r="B176" s="2">
        <v>44002</v>
      </c>
      <c r="C176" s="2">
        <f t="shared" si="6"/>
        <v>44012</v>
      </c>
      <c r="D176" s="16">
        <f t="shared" si="7"/>
        <v>2020</v>
      </c>
      <c r="E176" s="1" t="s">
        <v>12</v>
      </c>
      <c r="F176" s="1" t="s">
        <v>13</v>
      </c>
      <c r="G176" s="3">
        <v>5159.6499999999996</v>
      </c>
      <c r="H176" s="3">
        <v>4951.8</v>
      </c>
      <c r="I176" s="1">
        <v>74</v>
      </c>
      <c r="J176" s="4">
        <v>1.66</v>
      </c>
      <c r="K176" s="4">
        <f t="shared" si="8"/>
        <v>207.84999999999945</v>
      </c>
    </row>
    <row r="177" spans="2:11" x14ac:dyDescent="0.2">
      <c r="B177" s="2">
        <v>44003</v>
      </c>
      <c r="C177" s="2">
        <f t="shared" si="6"/>
        <v>44012</v>
      </c>
      <c r="D177" s="16">
        <f t="shared" si="7"/>
        <v>2020</v>
      </c>
      <c r="E177" s="1" t="s">
        <v>11</v>
      </c>
      <c r="F177" s="1" t="s">
        <v>14</v>
      </c>
      <c r="G177" s="3">
        <v>4617.53</v>
      </c>
      <c r="H177" s="3">
        <v>4107.42</v>
      </c>
      <c r="I177" s="1">
        <v>83</v>
      </c>
      <c r="J177" s="4">
        <v>3.33</v>
      </c>
      <c r="K177" s="4">
        <f t="shared" si="8"/>
        <v>510.10999999999967</v>
      </c>
    </row>
    <row r="178" spans="2:11" x14ac:dyDescent="0.2">
      <c r="B178" s="2">
        <v>44004</v>
      </c>
      <c r="C178" s="2">
        <f t="shared" si="6"/>
        <v>44012</v>
      </c>
      <c r="D178" s="16">
        <f t="shared" si="7"/>
        <v>2020</v>
      </c>
      <c r="E178" s="1" t="s">
        <v>8</v>
      </c>
      <c r="F178" s="1" t="s">
        <v>14</v>
      </c>
      <c r="G178" s="3">
        <v>7255.99</v>
      </c>
      <c r="H178" s="3">
        <v>3451.13</v>
      </c>
      <c r="I178" s="1">
        <v>94</v>
      </c>
      <c r="J178" s="4">
        <v>5</v>
      </c>
      <c r="K178" s="4">
        <f t="shared" si="8"/>
        <v>3804.8599999999997</v>
      </c>
    </row>
    <row r="179" spans="2:11" x14ac:dyDescent="0.2">
      <c r="B179" s="2">
        <v>44005</v>
      </c>
      <c r="C179" s="2">
        <f t="shared" si="6"/>
        <v>44012</v>
      </c>
      <c r="D179" s="16">
        <f t="shared" si="7"/>
        <v>2020</v>
      </c>
      <c r="E179" s="1" t="s">
        <v>8</v>
      </c>
      <c r="F179" s="1" t="s">
        <v>14</v>
      </c>
      <c r="G179" s="3">
        <v>1023.55</v>
      </c>
      <c r="H179" s="3">
        <v>3475.8</v>
      </c>
      <c r="I179" s="1">
        <v>14</v>
      </c>
      <c r="J179" s="4">
        <v>1.6</v>
      </c>
      <c r="K179" s="4">
        <f t="shared" si="8"/>
        <v>-2452.25</v>
      </c>
    </row>
    <row r="180" spans="2:11" x14ac:dyDescent="0.2">
      <c r="B180" s="2">
        <v>44006</v>
      </c>
      <c r="C180" s="2">
        <f t="shared" si="6"/>
        <v>44012</v>
      </c>
      <c r="D180" s="16">
        <f t="shared" si="7"/>
        <v>2020</v>
      </c>
      <c r="E180" s="1" t="s">
        <v>11</v>
      </c>
      <c r="F180" s="1" t="s">
        <v>13</v>
      </c>
      <c r="G180" s="3">
        <v>6637.26</v>
      </c>
      <c r="H180" s="3">
        <v>3682.73</v>
      </c>
      <c r="I180" s="1">
        <v>11</v>
      </c>
      <c r="J180" s="4">
        <v>4.2699999999999996</v>
      </c>
      <c r="K180" s="4">
        <f t="shared" si="8"/>
        <v>2954.53</v>
      </c>
    </row>
    <row r="181" spans="2:11" x14ac:dyDescent="0.2">
      <c r="B181" s="2">
        <v>44007</v>
      </c>
      <c r="C181" s="2">
        <f t="shared" si="6"/>
        <v>44012</v>
      </c>
      <c r="D181" s="16">
        <f t="shared" si="7"/>
        <v>2020</v>
      </c>
      <c r="E181" s="1" t="s">
        <v>10</v>
      </c>
      <c r="F181" s="1" t="s">
        <v>14</v>
      </c>
      <c r="G181" s="3">
        <v>6869.13</v>
      </c>
      <c r="H181" s="3">
        <v>3607.14</v>
      </c>
      <c r="I181" s="1">
        <v>31</v>
      </c>
      <c r="J181" s="4">
        <v>1.83</v>
      </c>
      <c r="K181" s="4">
        <f t="shared" si="8"/>
        <v>3261.9900000000002</v>
      </c>
    </row>
    <row r="182" spans="2:11" x14ac:dyDescent="0.2">
      <c r="B182" s="2">
        <v>44008</v>
      </c>
      <c r="C182" s="2">
        <f t="shared" si="6"/>
        <v>44012</v>
      </c>
      <c r="D182" s="16">
        <f t="shared" si="7"/>
        <v>2020</v>
      </c>
      <c r="E182" s="1" t="s">
        <v>12</v>
      </c>
      <c r="F182" s="1" t="s">
        <v>14</v>
      </c>
      <c r="G182" s="3">
        <v>1889.91</v>
      </c>
      <c r="H182" s="3">
        <v>3224.95</v>
      </c>
      <c r="I182" s="1">
        <v>66</v>
      </c>
      <c r="J182" s="4">
        <v>4.13</v>
      </c>
      <c r="K182" s="4">
        <f t="shared" si="8"/>
        <v>-1335.0399999999997</v>
      </c>
    </row>
    <row r="183" spans="2:11" x14ac:dyDescent="0.2">
      <c r="B183" s="2">
        <v>44009</v>
      </c>
      <c r="C183" s="2">
        <f t="shared" si="6"/>
        <v>44012</v>
      </c>
      <c r="D183" s="16">
        <f t="shared" si="7"/>
        <v>2020</v>
      </c>
      <c r="E183" s="1" t="s">
        <v>9</v>
      </c>
      <c r="F183" s="1" t="s">
        <v>14</v>
      </c>
      <c r="G183" s="3">
        <v>4485.97</v>
      </c>
      <c r="H183" s="3">
        <v>3083.36</v>
      </c>
      <c r="I183" s="1">
        <v>75</v>
      </c>
      <c r="J183" s="4">
        <v>3.94</v>
      </c>
      <c r="K183" s="4">
        <f t="shared" si="8"/>
        <v>1402.6100000000001</v>
      </c>
    </row>
    <row r="184" spans="2:11" x14ac:dyDescent="0.2">
      <c r="B184" s="2">
        <v>44010</v>
      </c>
      <c r="C184" s="2">
        <f t="shared" si="6"/>
        <v>44012</v>
      </c>
      <c r="D184" s="16">
        <f t="shared" si="7"/>
        <v>2020</v>
      </c>
      <c r="E184" s="1" t="s">
        <v>12</v>
      </c>
      <c r="F184" s="1" t="s">
        <v>15</v>
      </c>
      <c r="G184" s="3">
        <v>4442.84</v>
      </c>
      <c r="H184" s="3">
        <v>2949.93</v>
      </c>
      <c r="I184" s="1">
        <v>83</v>
      </c>
      <c r="J184" s="4">
        <v>2.2000000000000002</v>
      </c>
      <c r="K184" s="4">
        <f t="shared" si="8"/>
        <v>1492.9100000000003</v>
      </c>
    </row>
    <row r="185" spans="2:11" x14ac:dyDescent="0.2">
      <c r="B185" s="2">
        <v>44011</v>
      </c>
      <c r="C185" s="2">
        <f t="shared" si="6"/>
        <v>44012</v>
      </c>
      <c r="D185" s="16">
        <f t="shared" si="7"/>
        <v>2020</v>
      </c>
      <c r="E185" s="1" t="s">
        <v>12</v>
      </c>
      <c r="F185" s="1" t="s">
        <v>14</v>
      </c>
      <c r="G185" s="3">
        <v>2888.73</v>
      </c>
      <c r="H185" s="3">
        <v>2396.83</v>
      </c>
      <c r="I185" s="1">
        <v>25</v>
      </c>
      <c r="J185" s="4">
        <v>2.2999999999999998</v>
      </c>
      <c r="K185" s="4">
        <f t="shared" si="8"/>
        <v>491.90000000000009</v>
      </c>
    </row>
    <row r="186" spans="2:11" x14ac:dyDescent="0.2">
      <c r="B186" s="2">
        <v>44012</v>
      </c>
      <c r="C186" s="2">
        <f t="shared" si="6"/>
        <v>44012</v>
      </c>
      <c r="D186" s="16">
        <f t="shared" si="7"/>
        <v>2020</v>
      </c>
      <c r="E186" s="1" t="s">
        <v>10</v>
      </c>
      <c r="F186" s="1" t="s">
        <v>13</v>
      </c>
      <c r="G186" s="3">
        <v>3833.27</v>
      </c>
      <c r="H186" s="3">
        <v>2775.46</v>
      </c>
      <c r="I186" s="1">
        <v>60</v>
      </c>
      <c r="J186" s="4">
        <v>4.17</v>
      </c>
      <c r="K186" s="4">
        <f t="shared" si="8"/>
        <v>1057.81</v>
      </c>
    </row>
    <row r="187" spans="2:11" x14ac:dyDescent="0.2">
      <c r="B187" s="2">
        <v>44013</v>
      </c>
      <c r="C187" s="2">
        <f t="shared" si="6"/>
        <v>44043</v>
      </c>
      <c r="D187" s="16">
        <f t="shared" si="7"/>
        <v>2020</v>
      </c>
      <c r="E187" s="1" t="s">
        <v>12</v>
      </c>
      <c r="F187" s="1" t="s">
        <v>14</v>
      </c>
      <c r="G187" s="3">
        <v>3334.14</v>
      </c>
      <c r="H187" s="3">
        <v>1645.63</v>
      </c>
      <c r="I187" s="1">
        <v>48</v>
      </c>
      <c r="J187" s="4">
        <v>2.85</v>
      </c>
      <c r="K187" s="4">
        <f t="shared" si="8"/>
        <v>1688.5099999999998</v>
      </c>
    </row>
    <row r="188" spans="2:11" x14ac:dyDescent="0.2">
      <c r="B188" s="2">
        <v>44014</v>
      </c>
      <c r="C188" s="2">
        <f t="shared" si="6"/>
        <v>44043</v>
      </c>
      <c r="D188" s="16">
        <f t="shared" si="7"/>
        <v>2020</v>
      </c>
      <c r="E188" s="1" t="s">
        <v>11</v>
      </c>
      <c r="F188" s="1" t="s">
        <v>14</v>
      </c>
      <c r="G188" s="3">
        <v>7628.41</v>
      </c>
      <c r="H188" s="3">
        <v>2921.33</v>
      </c>
      <c r="I188" s="1">
        <v>95</v>
      </c>
      <c r="J188" s="4">
        <v>3.92</v>
      </c>
      <c r="K188" s="4">
        <f t="shared" si="8"/>
        <v>4707.08</v>
      </c>
    </row>
    <row r="189" spans="2:11" x14ac:dyDescent="0.2">
      <c r="B189" s="2">
        <v>44015</v>
      </c>
      <c r="C189" s="2">
        <f t="shared" si="6"/>
        <v>44043</v>
      </c>
      <c r="D189" s="16">
        <f t="shared" si="7"/>
        <v>2020</v>
      </c>
      <c r="E189" s="1" t="s">
        <v>11</v>
      </c>
      <c r="F189" s="1" t="s">
        <v>13</v>
      </c>
      <c r="G189" s="3">
        <v>6403.52</v>
      </c>
      <c r="H189" s="3">
        <v>2209.13</v>
      </c>
      <c r="I189" s="1">
        <v>85</v>
      </c>
      <c r="J189" s="4">
        <v>1.59</v>
      </c>
      <c r="K189" s="4">
        <f t="shared" si="8"/>
        <v>4194.3900000000003</v>
      </c>
    </row>
    <row r="190" spans="2:11" x14ac:dyDescent="0.2">
      <c r="B190" s="2">
        <v>44016</v>
      </c>
      <c r="C190" s="2">
        <f t="shared" si="6"/>
        <v>44043</v>
      </c>
      <c r="D190" s="16">
        <f t="shared" si="7"/>
        <v>2020</v>
      </c>
      <c r="E190" s="1" t="s">
        <v>8</v>
      </c>
      <c r="F190" s="1" t="s">
        <v>14</v>
      </c>
      <c r="G190" s="3">
        <v>6907.33</v>
      </c>
      <c r="H190" s="3">
        <v>2117.13</v>
      </c>
      <c r="I190" s="1">
        <v>97</v>
      </c>
      <c r="J190" s="4">
        <v>4.41</v>
      </c>
      <c r="K190" s="4">
        <f t="shared" si="8"/>
        <v>4790.2</v>
      </c>
    </row>
    <row r="191" spans="2:11" x14ac:dyDescent="0.2">
      <c r="B191" s="2">
        <v>44017</v>
      </c>
      <c r="C191" s="2">
        <f t="shared" si="6"/>
        <v>44043</v>
      </c>
      <c r="D191" s="16">
        <f t="shared" si="7"/>
        <v>2020</v>
      </c>
      <c r="E191" s="1" t="s">
        <v>9</v>
      </c>
      <c r="F191" s="1" t="s">
        <v>13</v>
      </c>
      <c r="G191" s="3">
        <v>6082.51</v>
      </c>
      <c r="H191" s="3">
        <v>3143.92</v>
      </c>
      <c r="I191" s="1">
        <v>49</v>
      </c>
      <c r="J191" s="4">
        <v>3.84</v>
      </c>
      <c r="K191" s="4">
        <f t="shared" si="8"/>
        <v>2938.59</v>
      </c>
    </row>
    <row r="192" spans="2:11" x14ac:dyDescent="0.2">
      <c r="B192" s="2">
        <v>44018</v>
      </c>
      <c r="C192" s="2">
        <f t="shared" si="6"/>
        <v>44043</v>
      </c>
      <c r="D192" s="16">
        <f t="shared" si="7"/>
        <v>2020</v>
      </c>
      <c r="E192" s="1" t="s">
        <v>12</v>
      </c>
      <c r="F192" s="1" t="s">
        <v>14</v>
      </c>
      <c r="G192" s="3">
        <v>3306.42</v>
      </c>
      <c r="H192" s="3">
        <v>4113.6000000000004</v>
      </c>
      <c r="I192" s="1">
        <v>47</v>
      </c>
      <c r="J192" s="4">
        <v>4.63</v>
      </c>
      <c r="K192" s="4">
        <f t="shared" si="8"/>
        <v>-807.18000000000029</v>
      </c>
    </row>
    <row r="193" spans="2:11" x14ac:dyDescent="0.2">
      <c r="B193" s="2">
        <v>44019</v>
      </c>
      <c r="C193" s="2">
        <f t="shared" si="6"/>
        <v>44043</v>
      </c>
      <c r="D193" s="16">
        <f t="shared" si="7"/>
        <v>2020</v>
      </c>
      <c r="E193" s="1" t="s">
        <v>12</v>
      </c>
      <c r="F193" s="1" t="s">
        <v>13</v>
      </c>
      <c r="G193" s="3">
        <v>4213.22</v>
      </c>
      <c r="H193" s="3">
        <v>3734.65</v>
      </c>
      <c r="I193" s="1">
        <v>69</v>
      </c>
      <c r="J193" s="4">
        <v>1.53</v>
      </c>
      <c r="K193" s="4">
        <f t="shared" si="8"/>
        <v>478.57000000000016</v>
      </c>
    </row>
    <row r="194" spans="2:11" x14ac:dyDescent="0.2">
      <c r="B194" s="2">
        <v>44020</v>
      </c>
      <c r="C194" s="2">
        <f t="shared" si="6"/>
        <v>44043</v>
      </c>
      <c r="D194" s="16">
        <f t="shared" si="7"/>
        <v>2020</v>
      </c>
      <c r="E194" s="1" t="s">
        <v>10</v>
      </c>
      <c r="F194" s="1" t="s">
        <v>14</v>
      </c>
      <c r="G194" s="3">
        <v>5734.06</v>
      </c>
      <c r="H194" s="3">
        <v>1743.6</v>
      </c>
      <c r="I194" s="1">
        <v>68</v>
      </c>
      <c r="J194" s="4">
        <v>3.37</v>
      </c>
      <c r="K194" s="4">
        <f t="shared" si="8"/>
        <v>3990.4600000000005</v>
      </c>
    </row>
    <row r="195" spans="2:11" x14ac:dyDescent="0.2">
      <c r="B195" s="2">
        <v>44021</v>
      </c>
      <c r="C195" s="2">
        <f t="shared" si="6"/>
        <v>44043</v>
      </c>
      <c r="D195" s="16">
        <f t="shared" si="7"/>
        <v>2020</v>
      </c>
      <c r="E195" s="1" t="s">
        <v>11</v>
      </c>
      <c r="F195" s="1" t="s">
        <v>14</v>
      </c>
      <c r="G195" s="3">
        <v>3166.81</v>
      </c>
      <c r="H195" s="3">
        <v>2208.3000000000002</v>
      </c>
      <c r="I195" s="1">
        <v>19</v>
      </c>
      <c r="J195" s="4">
        <v>3.4</v>
      </c>
      <c r="K195" s="4">
        <f t="shared" si="8"/>
        <v>958.50999999999976</v>
      </c>
    </row>
    <row r="196" spans="2:11" x14ac:dyDescent="0.2">
      <c r="B196" s="2">
        <v>44022</v>
      </c>
      <c r="C196" s="2">
        <f t="shared" si="6"/>
        <v>44043</v>
      </c>
      <c r="D196" s="16">
        <f t="shared" si="7"/>
        <v>2020</v>
      </c>
      <c r="E196" s="1" t="s">
        <v>9</v>
      </c>
      <c r="F196" s="1" t="s">
        <v>15</v>
      </c>
      <c r="G196" s="3">
        <v>6069.5</v>
      </c>
      <c r="H196" s="3">
        <v>3752.62</v>
      </c>
      <c r="I196" s="1">
        <v>73</v>
      </c>
      <c r="J196" s="4">
        <v>2.41</v>
      </c>
      <c r="K196" s="4">
        <f t="shared" si="8"/>
        <v>2316.88</v>
      </c>
    </row>
    <row r="197" spans="2:11" x14ac:dyDescent="0.2">
      <c r="B197" s="2">
        <v>44023</v>
      </c>
      <c r="C197" s="2">
        <f t="shared" si="6"/>
        <v>44043</v>
      </c>
      <c r="D197" s="16">
        <f t="shared" si="7"/>
        <v>2020</v>
      </c>
      <c r="E197" s="1" t="s">
        <v>8</v>
      </c>
      <c r="F197" s="1" t="s">
        <v>15</v>
      </c>
      <c r="G197" s="3">
        <v>4639.51</v>
      </c>
      <c r="H197" s="3">
        <v>2214.0100000000002</v>
      </c>
      <c r="I197" s="1">
        <v>72</v>
      </c>
      <c r="J197" s="4">
        <v>2.83</v>
      </c>
      <c r="K197" s="4">
        <f t="shared" si="8"/>
        <v>2425.5</v>
      </c>
    </row>
    <row r="198" spans="2:11" x14ac:dyDescent="0.2">
      <c r="B198" s="2">
        <v>44024</v>
      </c>
      <c r="C198" s="2">
        <f t="shared" ref="C198:C261" si="9">EOMONTH(B198,0)</f>
        <v>44043</v>
      </c>
      <c r="D198" s="16">
        <f t="shared" ref="D198:D261" si="10">YEAR(B198)</f>
        <v>2020</v>
      </c>
      <c r="E198" s="1" t="s">
        <v>11</v>
      </c>
      <c r="F198" s="1" t="s">
        <v>14</v>
      </c>
      <c r="G198" s="3">
        <v>4437.7700000000004</v>
      </c>
      <c r="H198" s="3">
        <v>2820.29</v>
      </c>
      <c r="I198" s="1">
        <v>58</v>
      </c>
      <c r="J198" s="4">
        <v>1.1499999999999999</v>
      </c>
      <c r="K198" s="4">
        <f t="shared" ref="K198:K261" si="11">G198-H198</f>
        <v>1617.4800000000005</v>
      </c>
    </row>
    <row r="199" spans="2:11" x14ac:dyDescent="0.2">
      <c r="B199" s="2">
        <v>44025</v>
      </c>
      <c r="C199" s="2">
        <f t="shared" si="9"/>
        <v>44043</v>
      </c>
      <c r="D199" s="16">
        <f t="shared" si="10"/>
        <v>2020</v>
      </c>
      <c r="E199" s="1" t="s">
        <v>8</v>
      </c>
      <c r="F199" s="1" t="s">
        <v>14</v>
      </c>
      <c r="G199" s="3">
        <v>6066.44</v>
      </c>
      <c r="H199" s="3">
        <v>3440.04</v>
      </c>
      <c r="I199" s="1">
        <v>73</v>
      </c>
      <c r="J199" s="4">
        <v>3.98</v>
      </c>
      <c r="K199" s="4">
        <f t="shared" si="11"/>
        <v>2626.3999999999996</v>
      </c>
    </row>
    <row r="200" spans="2:11" x14ac:dyDescent="0.2">
      <c r="B200" s="2">
        <v>44026</v>
      </c>
      <c r="C200" s="2">
        <f t="shared" si="9"/>
        <v>44043</v>
      </c>
      <c r="D200" s="16">
        <f t="shared" si="10"/>
        <v>2020</v>
      </c>
      <c r="E200" s="1" t="s">
        <v>10</v>
      </c>
      <c r="F200" s="1" t="s">
        <v>16</v>
      </c>
      <c r="G200" s="3">
        <v>5666.39</v>
      </c>
      <c r="H200" s="3">
        <v>2225.3200000000002</v>
      </c>
      <c r="I200" s="1">
        <v>41</v>
      </c>
      <c r="J200" s="4">
        <v>3.2</v>
      </c>
      <c r="K200" s="4">
        <f t="shared" si="11"/>
        <v>3441.07</v>
      </c>
    </row>
    <row r="201" spans="2:11" x14ac:dyDescent="0.2">
      <c r="B201" s="2">
        <v>44027</v>
      </c>
      <c r="C201" s="2">
        <f t="shared" si="9"/>
        <v>44043</v>
      </c>
      <c r="D201" s="16">
        <f t="shared" si="10"/>
        <v>2020</v>
      </c>
      <c r="E201" s="1" t="s">
        <v>10</v>
      </c>
      <c r="F201" s="1" t="s">
        <v>13</v>
      </c>
      <c r="G201" s="3">
        <v>4458.55</v>
      </c>
      <c r="H201" s="3">
        <v>3084.3</v>
      </c>
      <c r="I201" s="1">
        <v>16</v>
      </c>
      <c r="J201" s="4">
        <v>1.23</v>
      </c>
      <c r="K201" s="4">
        <f t="shared" si="11"/>
        <v>1374.25</v>
      </c>
    </row>
    <row r="202" spans="2:11" x14ac:dyDescent="0.2">
      <c r="B202" s="2">
        <v>44028</v>
      </c>
      <c r="C202" s="2">
        <f t="shared" si="9"/>
        <v>44043</v>
      </c>
      <c r="D202" s="16">
        <f t="shared" si="10"/>
        <v>2020</v>
      </c>
      <c r="E202" s="1" t="s">
        <v>12</v>
      </c>
      <c r="F202" s="1" t="s">
        <v>16</v>
      </c>
      <c r="G202" s="3">
        <v>6738.99</v>
      </c>
      <c r="H202" s="3">
        <v>1932.78</v>
      </c>
      <c r="I202" s="1">
        <v>30</v>
      </c>
      <c r="J202" s="4">
        <v>3.72</v>
      </c>
      <c r="K202" s="4">
        <f t="shared" si="11"/>
        <v>4806.21</v>
      </c>
    </row>
    <row r="203" spans="2:11" x14ac:dyDescent="0.2">
      <c r="B203" s="2">
        <v>44029</v>
      </c>
      <c r="C203" s="2">
        <f t="shared" si="9"/>
        <v>44043</v>
      </c>
      <c r="D203" s="16">
        <f t="shared" si="10"/>
        <v>2020</v>
      </c>
      <c r="E203" s="1" t="s">
        <v>9</v>
      </c>
      <c r="F203" s="1" t="s">
        <v>15</v>
      </c>
      <c r="G203" s="3">
        <v>3378.41</v>
      </c>
      <c r="H203" s="3">
        <v>2518.91</v>
      </c>
      <c r="I203" s="1">
        <v>29</v>
      </c>
      <c r="J203" s="4">
        <v>2.87</v>
      </c>
      <c r="K203" s="4">
        <f t="shared" si="11"/>
        <v>859.5</v>
      </c>
    </row>
    <row r="204" spans="2:11" x14ac:dyDescent="0.2">
      <c r="B204" s="2">
        <v>44030</v>
      </c>
      <c r="C204" s="2">
        <f t="shared" si="9"/>
        <v>44043</v>
      </c>
      <c r="D204" s="16">
        <f t="shared" si="10"/>
        <v>2020</v>
      </c>
      <c r="E204" s="1" t="s">
        <v>8</v>
      </c>
      <c r="F204" s="1" t="s">
        <v>15</v>
      </c>
      <c r="G204" s="3">
        <v>5923.9</v>
      </c>
      <c r="H204" s="3">
        <v>3255.83</v>
      </c>
      <c r="I204" s="1">
        <v>35</v>
      </c>
      <c r="J204" s="4">
        <v>1.1399999999999999</v>
      </c>
      <c r="K204" s="4">
        <f t="shared" si="11"/>
        <v>2668.0699999999997</v>
      </c>
    </row>
    <row r="205" spans="2:11" x14ac:dyDescent="0.2">
      <c r="B205" s="2">
        <v>44031</v>
      </c>
      <c r="C205" s="2">
        <f t="shared" si="9"/>
        <v>44043</v>
      </c>
      <c r="D205" s="16">
        <f t="shared" si="10"/>
        <v>2020</v>
      </c>
      <c r="E205" s="1" t="s">
        <v>11</v>
      </c>
      <c r="F205" s="1" t="s">
        <v>15</v>
      </c>
      <c r="G205" s="3">
        <v>5889.65</v>
      </c>
      <c r="H205" s="3">
        <v>1725.61</v>
      </c>
      <c r="I205" s="1">
        <v>77</v>
      </c>
      <c r="J205" s="4">
        <v>4.88</v>
      </c>
      <c r="K205" s="4">
        <f t="shared" si="11"/>
        <v>4164.04</v>
      </c>
    </row>
    <row r="206" spans="2:11" x14ac:dyDescent="0.2">
      <c r="B206" s="2">
        <v>44032</v>
      </c>
      <c r="C206" s="2">
        <f t="shared" si="9"/>
        <v>44043</v>
      </c>
      <c r="D206" s="16">
        <f t="shared" si="10"/>
        <v>2020</v>
      </c>
      <c r="E206" s="1" t="s">
        <v>10</v>
      </c>
      <c r="F206" s="1" t="s">
        <v>15</v>
      </c>
      <c r="G206" s="3">
        <v>4535.68</v>
      </c>
      <c r="H206" s="3">
        <v>3352.38</v>
      </c>
      <c r="I206" s="1">
        <v>95</v>
      </c>
      <c r="J206" s="4">
        <v>4.8</v>
      </c>
      <c r="K206" s="4">
        <f t="shared" si="11"/>
        <v>1183.3000000000002</v>
      </c>
    </row>
    <row r="207" spans="2:11" x14ac:dyDescent="0.2">
      <c r="B207" s="2">
        <v>44033</v>
      </c>
      <c r="C207" s="2">
        <f t="shared" si="9"/>
        <v>44043</v>
      </c>
      <c r="D207" s="16">
        <f t="shared" si="10"/>
        <v>2020</v>
      </c>
      <c r="E207" s="1" t="s">
        <v>12</v>
      </c>
      <c r="F207" s="1" t="s">
        <v>14</v>
      </c>
      <c r="G207" s="3">
        <v>5489.2</v>
      </c>
      <c r="H207" s="3">
        <v>2984.29</v>
      </c>
      <c r="I207" s="1">
        <v>24</v>
      </c>
      <c r="J207" s="4">
        <v>3.05</v>
      </c>
      <c r="K207" s="4">
        <f t="shared" si="11"/>
        <v>2504.91</v>
      </c>
    </row>
    <row r="208" spans="2:11" x14ac:dyDescent="0.2">
      <c r="B208" s="2">
        <v>44034</v>
      </c>
      <c r="C208" s="2">
        <f t="shared" si="9"/>
        <v>44043</v>
      </c>
      <c r="D208" s="16">
        <f t="shared" si="10"/>
        <v>2020</v>
      </c>
      <c r="E208" s="1" t="s">
        <v>12</v>
      </c>
      <c r="F208" s="1" t="s">
        <v>15</v>
      </c>
      <c r="G208" s="3">
        <v>3123.33</v>
      </c>
      <c r="H208" s="3">
        <v>3441.99</v>
      </c>
      <c r="I208" s="1">
        <v>94</v>
      </c>
      <c r="J208" s="4">
        <v>1.37</v>
      </c>
      <c r="K208" s="4">
        <f t="shared" si="11"/>
        <v>-318.65999999999985</v>
      </c>
    </row>
    <row r="209" spans="2:11" x14ac:dyDescent="0.2">
      <c r="B209" s="2">
        <v>44035</v>
      </c>
      <c r="C209" s="2">
        <f t="shared" si="9"/>
        <v>44043</v>
      </c>
      <c r="D209" s="16">
        <f t="shared" si="10"/>
        <v>2020</v>
      </c>
      <c r="E209" s="1" t="s">
        <v>8</v>
      </c>
      <c r="F209" s="1" t="s">
        <v>14</v>
      </c>
      <c r="G209" s="3">
        <v>6386.04</v>
      </c>
      <c r="H209" s="3">
        <v>3179.13</v>
      </c>
      <c r="I209" s="1">
        <v>88</v>
      </c>
      <c r="J209" s="4">
        <v>4.0199999999999996</v>
      </c>
      <c r="K209" s="4">
        <f t="shared" si="11"/>
        <v>3206.91</v>
      </c>
    </row>
    <row r="210" spans="2:11" x14ac:dyDescent="0.2">
      <c r="B210" s="2">
        <v>44036</v>
      </c>
      <c r="C210" s="2">
        <f t="shared" si="9"/>
        <v>44043</v>
      </c>
      <c r="D210" s="16">
        <f t="shared" si="10"/>
        <v>2020</v>
      </c>
      <c r="E210" s="1" t="s">
        <v>10</v>
      </c>
      <c r="F210" s="1" t="s">
        <v>14</v>
      </c>
      <c r="G210" s="3">
        <v>4722.6499999999996</v>
      </c>
      <c r="H210" s="3">
        <v>4091.31</v>
      </c>
      <c r="I210" s="1">
        <v>95</v>
      </c>
      <c r="J210" s="4">
        <v>2.97</v>
      </c>
      <c r="K210" s="4">
        <f t="shared" si="11"/>
        <v>631.33999999999969</v>
      </c>
    </row>
    <row r="211" spans="2:11" x14ac:dyDescent="0.2">
      <c r="B211" s="2">
        <v>44037</v>
      </c>
      <c r="C211" s="2">
        <f t="shared" si="9"/>
        <v>44043</v>
      </c>
      <c r="D211" s="16">
        <f t="shared" si="10"/>
        <v>2020</v>
      </c>
      <c r="E211" s="1" t="s">
        <v>9</v>
      </c>
      <c r="F211" s="1" t="s">
        <v>15</v>
      </c>
      <c r="G211" s="3">
        <v>4215.92</v>
      </c>
      <c r="H211" s="3">
        <v>3100.18</v>
      </c>
      <c r="I211" s="1">
        <v>23</v>
      </c>
      <c r="J211" s="4">
        <v>2.21</v>
      </c>
      <c r="K211" s="4">
        <f t="shared" si="11"/>
        <v>1115.7400000000002</v>
      </c>
    </row>
    <row r="212" spans="2:11" x14ac:dyDescent="0.2">
      <c r="B212" s="2">
        <v>44038</v>
      </c>
      <c r="C212" s="2">
        <f t="shared" si="9"/>
        <v>44043</v>
      </c>
      <c r="D212" s="16">
        <f t="shared" si="10"/>
        <v>2020</v>
      </c>
      <c r="E212" s="1" t="s">
        <v>10</v>
      </c>
      <c r="F212" s="1" t="s">
        <v>15</v>
      </c>
      <c r="G212" s="3">
        <v>6573.51</v>
      </c>
      <c r="H212" s="3">
        <v>2656.48</v>
      </c>
      <c r="I212" s="1">
        <v>36</v>
      </c>
      <c r="J212" s="4">
        <v>2.97</v>
      </c>
      <c r="K212" s="4">
        <f t="shared" si="11"/>
        <v>3917.03</v>
      </c>
    </row>
    <row r="213" spans="2:11" x14ac:dyDescent="0.2">
      <c r="B213" s="2">
        <v>44039</v>
      </c>
      <c r="C213" s="2">
        <f t="shared" si="9"/>
        <v>44043</v>
      </c>
      <c r="D213" s="16">
        <f t="shared" si="10"/>
        <v>2020</v>
      </c>
      <c r="E213" s="1" t="s">
        <v>8</v>
      </c>
      <c r="F213" s="1" t="s">
        <v>13</v>
      </c>
      <c r="G213" s="3">
        <v>3943.48</v>
      </c>
      <c r="H213" s="3">
        <v>3097.84</v>
      </c>
      <c r="I213" s="1">
        <v>49</v>
      </c>
      <c r="J213" s="4">
        <v>3.09</v>
      </c>
      <c r="K213" s="4">
        <f t="shared" si="11"/>
        <v>845.63999999999987</v>
      </c>
    </row>
    <row r="214" spans="2:11" x14ac:dyDescent="0.2">
      <c r="B214" s="2">
        <v>44040</v>
      </c>
      <c r="C214" s="2">
        <f t="shared" si="9"/>
        <v>44043</v>
      </c>
      <c r="D214" s="16">
        <f t="shared" si="10"/>
        <v>2020</v>
      </c>
      <c r="E214" s="1" t="s">
        <v>8</v>
      </c>
      <c r="F214" s="1" t="s">
        <v>16</v>
      </c>
      <c r="G214" s="3">
        <v>2887.31</v>
      </c>
      <c r="H214" s="3">
        <v>3434.64</v>
      </c>
      <c r="I214" s="1">
        <v>67</v>
      </c>
      <c r="J214" s="4">
        <v>3.25</v>
      </c>
      <c r="K214" s="4">
        <f t="shared" si="11"/>
        <v>-547.32999999999993</v>
      </c>
    </row>
    <row r="215" spans="2:11" x14ac:dyDescent="0.2">
      <c r="B215" s="2">
        <v>44041</v>
      </c>
      <c r="C215" s="2">
        <f t="shared" si="9"/>
        <v>44043</v>
      </c>
      <c r="D215" s="16">
        <f t="shared" si="10"/>
        <v>2020</v>
      </c>
      <c r="E215" s="1" t="s">
        <v>10</v>
      </c>
      <c r="F215" s="1" t="s">
        <v>15</v>
      </c>
      <c r="G215" s="3">
        <v>2665.06</v>
      </c>
      <c r="H215" s="3">
        <v>3039.09</v>
      </c>
      <c r="I215" s="1">
        <v>37</v>
      </c>
      <c r="J215" s="4">
        <v>2.76</v>
      </c>
      <c r="K215" s="4">
        <f t="shared" si="11"/>
        <v>-374.0300000000002</v>
      </c>
    </row>
    <row r="216" spans="2:11" x14ac:dyDescent="0.2">
      <c r="B216" s="2">
        <v>44042</v>
      </c>
      <c r="C216" s="2">
        <f t="shared" si="9"/>
        <v>44043</v>
      </c>
      <c r="D216" s="16">
        <f t="shared" si="10"/>
        <v>2020</v>
      </c>
      <c r="E216" s="1" t="s">
        <v>8</v>
      </c>
      <c r="F216" s="1" t="s">
        <v>13</v>
      </c>
      <c r="G216" s="3">
        <v>5909.01</v>
      </c>
      <c r="H216" s="3">
        <v>3032.47</v>
      </c>
      <c r="I216" s="1">
        <v>35</v>
      </c>
      <c r="J216" s="4">
        <v>3.42</v>
      </c>
      <c r="K216" s="4">
        <f t="shared" si="11"/>
        <v>2876.5400000000004</v>
      </c>
    </row>
    <row r="217" spans="2:11" x14ac:dyDescent="0.2">
      <c r="B217" s="2">
        <v>44043</v>
      </c>
      <c r="C217" s="2">
        <f t="shared" si="9"/>
        <v>44043</v>
      </c>
      <c r="D217" s="16">
        <f t="shared" si="10"/>
        <v>2020</v>
      </c>
      <c r="E217" s="1" t="s">
        <v>10</v>
      </c>
      <c r="F217" s="1" t="s">
        <v>13</v>
      </c>
      <c r="G217" s="3">
        <v>3079.36</v>
      </c>
      <c r="H217" s="3">
        <v>2438.41</v>
      </c>
      <c r="I217" s="1">
        <v>72</v>
      </c>
      <c r="J217" s="4">
        <v>4.67</v>
      </c>
      <c r="K217" s="4">
        <f t="shared" si="11"/>
        <v>640.95000000000027</v>
      </c>
    </row>
    <row r="218" spans="2:11" x14ac:dyDescent="0.2">
      <c r="B218" s="2">
        <v>44044</v>
      </c>
      <c r="C218" s="2">
        <f t="shared" si="9"/>
        <v>44074</v>
      </c>
      <c r="D218" s="16">
        <f t="shared" si="10"/>
        <v>2020</v>
      </c>
      <c r="E218" s="1" t="s">
        <v>11</v>
      </c>
      <c r="F218" s="1" t="s">
        <v>16</v>
      </c>
      <c r="G218" s="3">
        <v>7632.19</v>
      </c>
      <c r="H218" s="3">
        <v>2469.6799999999998</v>
      </c>
      <c r="I218" s="1">
        <v>75</v>
      </c>
      <c r="J218" s="4">
        <v>2.4500000000000002</v>
      </c>
      <c r="K218" s="4">
        <f t="shared" si="11"/>
        <v>5162.51</v>
      </c>
    </row>
    <row r="219" spans="2:11" x14ac:dyDescent="0.2">
      <c r="B219" s="2">
        <v>44045</v>
      </c>
      <c r="C219" s="2">
        <f t="shared" si="9"/>
        <v>44074</v>
      </c>
      <c r="D219" s="16">
        <f t="shared" si="10"/>
        <v>2020</v>
      </c>
      <c r="E219" s="1" t="s">
        <v>10</v>
      </c>
      <c r="F219" s="1" t="s">
        <v>14</v>
      </c>
      <c r="G219" s="3">
        <v>1877.11</v>
      </c>
      <c r="H219" s="3">
        <v>1877.92</v>
      </c>
      <c r="I219" s="1">
        <v>34</v>
      </c>
      <c r="J219" s="4">
        <v>3.9</v>
      </c>
      <c r="K219" s="4">
        <f t="shared" si="11"/>
        <v>-0.8100000000001728</v>
      </c>
    </row>
    <row r="220" spans="2:11" x14ac:dyDescent="0.2">
      <c r="B220" s="2">
        <v>44046</v>
      </c>
      <c r="C220" s="2">
        <f t="shared" si="9"/>
        <v>44074</v>
      </c>
      <c r="D220" s="16">
        <f t="shared" si="10"/>
        <v>2020</v>
      </c>
      <c r="E220" s="1" t="s">
        <v>10</v>
      </c>
      <c r="F220" s="1" t="s">
        <v>15</v>
      </c>
      <c r="G220" s="3">
        <v>7544.68</v>
      </c>
      <c r="H220" s="3">
        <v>4399.66</v>
      </c>
      <c r="I220" s="1">
        <v>12</v>
      </c>
      <c r="J220" s="4">
        <v>4.58</v>
      </c>
      <c r="K220" s="4">
        <f t="shared" si="11"/>
        <v>3145.0200000000004</v>
      </c>
    </row>
    <row r="221" spans="2:11" x14ac:dyDescent="0.2">
      <c r="B221" s="2">
        <v>44047</v>
      </c>
      <c r="C221" s="2">
        <f t="shared" si="9"/>
        <v>44074</v>
      </c>
      <c r="D221" s="16">
        <f t="shared" si="10"/>
        <v>2020</v>
      </c>
      <c r="E221" s="1" t="s">
        <v>8</v>
      </c>
      <c r="F221" s="1" t="s">
        <v>16</v>
      </c>
      <c r="G221" s="3">
        <v>5316.53</v>
      </c>
      <c r="H221" s="3">
        <v>2004.91</v>
      </c>
      <c r="I221" s="1">
        <v>81</v>
      </c>
      <c r="J221" s="4">
        <v>2.82</v>
      </c>
      <c r="K221" s="4">
        <f t="shared" si="11"/>
        <v>3311.62</v>
      </c>
    </row>
    <row r="222" spans="2:11" x14ac:dyDescent="0.2">
      <c r="B222" s="2">
        <v>44048</v>
      </c>
      <c r="C222" s="2">
        <f t="shared" si="9"/>
        <v>44074</v>
      </c>
      <c r="D222" s="16">
        <f t="shared" si="10"/>
        <v>2020</v>
      </c>
      <c r="E222" s="1" t="s">
        <v>8</v>
      </c>
      <c r="F222" s="1" t="s">
        <v>15</v>
      </c>
      <c r="G222" s="3">
        <v>4854.93</v>
      </c>
      <c r="H222" s="3">
        <v>2445.6799999999998</v>
      </c>
      <c r="I222" s="1">
        <v>53</v>
      </c>
      <c r="J222" s="4">
        <v>2.77</v>
      </c>
      <c r="K222" s="4">
        <f t="shared" si="11"/>
        <v>2409.2500000000005</v>
      </c>
    </row>
    <row r="223" spans="2:11" x14ac:dyDescent="0.2">
      <c r="B223" s="2">
        <v>44049</v>
      </c>
      <c r="C223" s="2">
        <f t="shared" si="9"/>
        <v>44074</v>
      </c>
      <c r="D223" s="16">
        <f t="shared" si="10"/>
        <v>2020</v>
      </c>
      <c r="E223" s="1" t="s">
        <v>12</v>
      </c>
      <c r="F223" s="1" t="s">
        <v>13</v>
      </c>
      <c r="G223" s="3">
        <v>4182.62</v>
      </c>
      <c r="H223" s="3">
        <v>2425.27</v>
      </c>
      <c r="I223" s="1">
        <v>51</v>
      </c>
      <c r="J223" s="4">
        <v>3.41</v>
      </c>
      <c r="K223" s="4">
        <f t="shared" si="11"/>
        <v>1757.35</v>
      </c>
    </row>
    <row r="224" spans="2:11" x14ac:dyDescent="0.2">
      <c r="B224" s="2">
        <v>44050</v>
      </c>
      <c r="C224" s="2">
        <f t="shared" si="9"/>
        <v>44074</v>
      </c>
      <c r="D224" s="16">
        <f t="shared" si="10"/>
        <v>2020</v>
      </c>
      <c r="E224" s="1" t="s">
        <v>12</v>
      </c>
      <c r="F224" s="1" t="s">
        <v>13</v>
      </c>
      <c r="G224" s="3">
        <v>5598.7</v>
      </c>
      <c r="H224" s="3">
        <v>3715.94</v>
      </c>
      <c r="I224" s="1">
        <v>15</v>
      </c>
      <c r="J224" s="4">
        <v>3.37</v>
      </c>
      <c r="K224" s="4">
        <f t="shared" si="11"/>
        <v>1882.7599999999998</v>
      </c>
    </row>
    <row r="225" spans="2:11" x14ac:dyDescent="0.2">
      <c r="B225" s="2">
        <v>44051</v>
      </c>
      <c r="C225" s="2">
        <f t="shared" si="9"/>
        <v>44074</v>
      </c>
      <c r="D225" s="16">
        <f t="shared" si="10"/>
        <v>2020</v>
      </c>
      <c r="E225" s="1" t="s">
        <v>11</v>
      </c>
      <c r="F225" s="1" t="s">
        <v>14</v>
      </c>
      <c r="G225" s="3">
        <v>4943.55</v>
      </c>
      <c r="H225" s="3">
        <v>2764.04</v>
      </c>
      <c r="I225" s="1">
        <v>48</v>
      </c>
      <c r="J225" s="4">
        <v>4.2300000000000004</v>
      </c>
      <c r="K225" s="4">
        <f t="shared" si="11"/>
        <v>2179.5100000000002</v>
      </c>
    </row>
    <row r="226" spans="2:11" x14ac:dyDescent="0.2">
      <c r="B226" s="2">
        <v>44052</v>
      </c>
      <c r="C226" s="2">
        <f t="shared" si="9"/>
        <v>44074</v>
      </c>
      <c r="D226" s="16">
        <f t="shared" si="10"/>
        <v>2020</v>
      </c>
      <c r="E226" s="1" t="s">
        <v>12</v>
      </c>
      <c r="F226" s="1" t="s">
        <v>13</v>
      </c>
      <c r="G226" s="3">
        <v>6654.95</v>
      </c>
      <c r="H226" s="3">
        <v>3998.19</v>
      </c>
      <c r="I226" s="1">
        <v>61</v>
      </c>
      <c r="J226" s="4">
        <v>2.91</v>
      </c>
      <c r="K226" s="4">
        <f t="shared" si="11"/>
        <v>2656.7599999999998</v>
      </c>
    </row>
    <row r="227" spans="2:11" x14ac:dyDescent="0.2">
      <c r="B227" s="2">
        <v>44053</v>
      </c>
      <c r="C227" s="2">
        <f t="shared" si="9"/>
        <v>44074</v>
      </c>
      <c r="D227" s="16">
        <f t="shared" si="10"/>
        <v>2020</v>
      </c>
      <c r="E227" s="1" t="s">
        <v>10</v>
      </c>
      <c r="F227" s="1" t="s">
        <v>13</v>
      </c>
      <c r="G227" s="3">
        <v>5171.34</v>
      </c>
      <c r="H227" s="3">
        <v>2461.21</v>
      </c>
      <c r="I227" s="1">
        <v>32</v>
      </c>
      <c r="J227" s="4">
        <v>4.9800000000000004</v>
      </c>
      <c r="K227" s="4">
        <f t="shared" si="11"/>
        <v>2710.13</v>
      </c>
    </row>
    <row r="228" spans="2:11" x14ac:dyDescent="0.2">
      <c r="B228" s="2">
        <v>44054</v>
      </c>
      <c r="C228" s="2">
        <f t="shared" si="9"/>
        <v>44074</v>
      </c>
      <c r="D228" s="16">
        <f t="shared" si="10"/>
        <v>2020</v>
      </c>
      <c r="E228" s="1" t="s">
        <v>8</v>
      </c>
      <c r="F228" s="1" t="s">
        <v>16</v>
      </c>
      <c r="G228" s="3">
        <v>5225.45</v>
      </c>
      <c r="H228" s="3">
        <v>3223.2</v>
      </c>
      <c r="I228" s="1">
        <v>98</v>
      </c>
      <c r="J228" s="4">
        <v>1.24</v>
      </c>
      <c r="K228" s="4">
        <f t="shared" si="11"/>
        <v>2002.25</v>
      </c>
    </row>
    <row r="229" spans="2:11" x14ac:dyDescent="0.2">
      <c r="B229" s="2">
        <v>44055</v>
      </c>
      <c r="C229" s="2">
        <f t="shared" si="9"/>
        <v>44074</v>
      </c>
      <c r="D229" s="16">
        <f t="shared" si="10"/>
        <v>2020</v>
      </c>
      <c r="E229" s="1" t="s">
        <v>12</v>
      </c>
      <c r="F229" s="1" t="s">
        <v>15</v>
      </c>
      <c r="G229" s="3">
        <v>4454.58</v>
      </c>
      <c r="H229" s="3">
        <v>2331.7199999999998</v>
      </c>
      <c r="I229" s="1">
        <v>59</v>
      </c>
      <c r="J229" s="4">
        <v>1.01</v>
      </c>
      <c r="K229" s="4">
        <f t="shared" si="11"/>
        <v>2122.86</v>
      </c>
    </row>
    <row r="230" spans="2:11" x14ac:dyDescent="0.2">
      <c r="B230" s="2">
        <v>44056</v>
      </c>
      <c r="C230" s="2">
        <f t="shared" si="9"/>
        <v>44074</v>
      </c>
      <c r="D230" s="16">
        <f t="shared" si="10"/>
        <v>2020</v>
      </c>
      <c r="E230" s="1" t="s">
        <v>12</v>
      </c>
      <c r="F230" s="1" t="s">
        <v>15</v>
      </c>
      <c r="G230" s="3">
        <v>4914.58</v>
      </c>
      <c r="H230" s="3">
        <v>4716.12</v>
      </c>
      <c r="I230" s="1">
        <v>52</v>
      </c>
      <c r="J230" s="4">
        <v>3.56</v>
      </c>
      <c r="K230" s="4">
        <f t="shared" si="11"/>
        <v>198.46000000000004</v>
      </c>
    </row>
    <row r="231" spans="2:11" x14ac:dyDescent="0.2">
      <c r="B231" s="2">
        <v>44057</v>
      </c>
      <c r="C231" s="2">
        <f t="shared" si="9"/>
        <v>44074</v>
      </c>
      <c r="D231" s="16">
        <f t="shared" si="10"/>
        <v>2020</v>
      </c>
      <c r="E231" s="1" t="s">
        <v>11</v>
      </c>
      <c r="F231" s="1" t="s">
        <v>16</v>
      </c>
      <c r="G231" s="3">
        <v>5461.7</v>
      </c>
      <c r="H231" s="3">
        <v>2049.92</v>
      </c>
      <c r="I231" s="1">
        <v>28</v>
      </c>
      <c r="J231" s="4">
        <v>2.19</v>
      </c>
      <c r="K231" s="4">
        <f t="shared" si="11"/>
        <v>3411.7799999999997</v>
      </c>
    </row>
    <row r="232" spans="2:11" x14ac:dyDescent="0.2">
      <c r="B232" s="2">
        <v>44058</v>
      </c>
      <c r="C232" s="2">
        <f t="shared" si="9"/>
        <v>44074</v>
      </c>
      <c r="D232" s="16">
        <f t="shared" si="10"/>
        <v>2020</v>
      </c>
      <c r="E232" s="1" t="s">
        <v>11</v>
      </c>
      <c r="F232" s="1" t="s">
        <v>14</v>
      </c>
      <c r="G232" s="3">
        <v>2434.75</v>
      </c>
      <c r="H232" s="3">
        <v>3247.86</v>
      </c>
      <c r="I232" s="1">
        <v>78</v>
      </c>
      <c r="J232" s="4">
        <v>1.96</v>
      </c>
      <c r="K232" s="4">
        <f t="shared" si="11"/>
        <v>-813.11000000000013</v>
      </c>
    </row>
    <row r="233" spans="2:11" x14ac:dyDescent="0.2">
      <c r="B233" s="2">
        <v>44059</v>
      </c>
      <c r="C233" s="2">
        <f t="shared" si="9"/>
        <v>44074</v>
      </c>
      <c r="D233" s="16">
        <f t="shared" si="10"/>
        <v>2020</v>
      </c>
      <c r="E233" s="1" t="s">
        <v>10</v>
      </c>
      <c r="F233" s="1" t="s">
        <v>15</v>
      </c>
      <c r="G233" s="3">
        <v>2977.72</v>
      </c>
      <c r="H233" s="3">
        <v>3507.02</v>
      </c>
      <c r="I233" s="1">
        <v>60</v>
      </c>
      <c r="J233" s="4">
        <v>2.25</v>
      </c>
      <c r="K233" s="4">
        <f t="shared" si="11"/>
        <v>-529.30000000000018</v>
      </c>
    </row>
    <row r="234" spans="2:11" x14ac:dyDescent="0.2">
      <c r="B234" s="2">
        <v>44060</v>
      </c>
      <c r="C234" s="2">
        <f t="shared" si="9"/>
        <v>44074</v>
      </c>
      <c r="D234" s="16">
        <f t="shared" si="10"/>
        <v>2020</v>
      </c>
      <c r="E234" s="1" t="s">
        <v>8</v>
      </c>
      <c r="F234" s="1" t="s">
        <v>13</v>
      </c>
      <c r="G234" s="3">
        <v>6114.9</v>
      </c>
      <c r="H234" s="3">
        <v>3331.04</v>
      </c>
      <c r="I234" s="1">
        <v>20</v>
      </c>
      <c r="J234" s="4">
        <v>2.02</v>
      </c>
      <c r="K234" s="4">
        <f t="shared" si="11"/>
        <v>2783.8599999999997</v>
      </c>
    </row>
    <row r="235" spans="2:11" x14ac:dyDescent="0.2">
      <c r="B235" s="2">
        <v>44061</v>
      </c>
      <c r="C235" s="2">
        <f t="shared" si="9"/>
        <v>44074</v>
      </c>
      <c r="D235" s="16">
        <f t="shared" si="10"/>
        <v>2020</v>
      </c>
      <c r="E235" s="1" t="s">
        <v>11</v>
      </c>
      <c r="F235" s="1" t="s">
        <v>15</v>
      </c>
      <c r="G235" s="3">
        <v>5256.3</v>
      </c>
      <c r="H235" s="3">
        <v>2851.77</v>
      </c>
      <c r="I235" s="1">
        <v>21</v>
      </c>
      <c r="J235" s="4">
        <v>1.1200000000000001</v>
      </c>
      <c r="K235" s="4">
        <f t="shared" si="11"/>
        <v>2404.5300000000002</v>
      </c>
    </row>
    <row r="236" spans="2:11" x14ac:dyDescent="0.2">
      <c r="B236" s="2">
        <v>44062</v>
      </c>
      <c r="C236" s="2">
        <f t="shared" si="9"/>
        <v>44074</v>
      </c>
      <c r="D236" s="16">
        <f t="shared" si="10"/>
        <v>2020</v>
      </c>
      <c r="E236" s="1" t="s">
        <v>12</v>
      </c>
      <c r="F236" s="1" t="s">
        <v>13</v>
      </c>
      <c r="G236" s="3">
        <v>4724.0200000000004</v>
      </c>
      <c r="H236" s="3">
        <v>2896.14</v>
      </c>
      <c r="I236" s="1">
        <v>83</v>
      </c>
      <c r="J236" s="4">
        <v>4.8899999999999997</v>
      </c>
      <c r="K236" s="4">
        <f t="shared" si="11"/>
        <v>1827.8800000000006</v>
      </c>
    </row>
    <row r="237" spans="2:11" x14ac:dyDescent="0.2">
      <c r="B237" s="2">
        <v>44063</v>
      </c>
      <c r="C237" s="2">
        <f t="shared" si="9"/>
        <v>44074</v>
      </c>
      <c r="D237" s="16">
        <f t="shared" si="10"/>
        <v>2020</v>
      </c>
      <c r="E237" s="1" t="s">
        <v>8</v>
      </c>
      <c r="F237" s="1" t="s">
        <v>14</v>
      </c>
      <c r="G237" s="3">
        <v>5027.6499999999996</v>
      </c>
      <c r="H237" s="3">
        <v>3035.05</v>
      </c>
      <c r="I237" s="1">
        <v>17</v>
      </c>
      <c r="J237" s="4">
        <v>1.88</v>
      </c>
      <c r="K237" s="4">
        <f t="shared" si="11"/>
        <v>1992.5999999999995</v>
      </c>
    </row>
    <row r="238" spans="2:11" x14ac:dyDescent="0.2">
      <c r="B238" s="2">
        <v>44064</v>
      </c>
      <c r="C238" s="2">
        <f t="shared" si="9"/>
        <v>44074</v>
      </c>
      <c r="D238" s="16">
        <f t="shared" si="10"/>
        <v>2020</v>
      </c>
      <c r="E238" s="1" t="s">
        <v>8</v>
      </c>
      <c r="F238" s="1" t="s">
        <v>16</v>
      </c>
      <c r="G238" s="3">
        <v>5521.37</v>
      </c>
      <c r="H238" s="3">
        <v>2882.4</v>
      </c>
      <c r="I238" s="1">
        <v>33</v>
      </c>
      <c r="J238" s="4">
        <v>3.94</v>
      </c>
      <c r="K238" s="4">
        <f t="shared" si="11"/>
        <v>2638.97</v>
      </c>
    </row>
    <row r="239" spans="2:11" x14ac:dyDescent="0.2">
      <c r="B239" s="2">
        <v>44065</v>
      </c>
      <c r="C239" s="2">
        <f t="shared" si="9"/>
        <v>44074</v>
      </c>
      <c r="D239" s="16">
        <f t="shared" si="10"/>
        <v>2020</v>
      </c>
      <c r="E239" s="1" t="s">
        <v>12</v>
      </c>
      <c r="F239" s="1" t="s">
        <v>15</v>
      </c>
      <c r="G239" s="3">
        <v>4190.3599999999997</v>
      </c>
      <c r="H239" s="3">
        <v>3771.1</v>
      </c>
      <c r="I239" s="1">
        <v>50</v>
      </c>
      <c r="J239" s="4">
        <v>4.05</v>
      </c>
      <c r="K239" s="4">
        <f t="shared" si="11"/>
        <v>419.25999999999976</v>
      </c>
    </row>
    <row r="240" spans="2:11" x14ac:dyDescent="0.2">
      <c r="B240" s="2">
        <v>44066</v>
      </c>
      <c r="C240" s="2">
        <f t="shared" si="9"/>
        <v>44074</v>
      </c>
      <c r="D240" s="16">
        <f t="shared" si="10"/>
        <v>2020</v>
      </c>
      <c r="E240" s="1" t="s">
        <v>11</v>
      </c>
      <c r="F240" s="1" t="s">
        <v>16</v>
      </c>
      <c r="G240" s="3">
        <v>3832.54</v>
      </c>
      <c r="H240" s="3">
        <v>4768.42</v>
      </c>
      <c r="I240" s="1">
        <v>45</v>
      </c>
      <c r="J240" s="4">
        <v>4.72</v>
      </c>
      <c r="K240" s="4">
        <f t="shared" si="11"/>
        <v>-935.88000000000011</v>
      </c>
    </row>
    <row r="241" spans="2:11" x14ac:dyDescent="0.2">
      <c r="B241" s="2">
        <v>44067</v>
      </c>
      <c r="C241" s="2">
        <f t="shared" si="9"/>
        <v>44074</v>
      </c>
      <c r="D241" s="16">
        <f t="shared" si="10"/>
        <v>2020</v>
      </c>
      <c r="E241" s="1" t="s">
        <v>12</v>
      </c>
      <c r="F241" s="1" t="s">
        <v>15</v>
      </c>
      <c r="G241" s="3">
        <v>5293.77</v>
      </c>
      <c r="H241" s="3">
        <v>2554.0100000000002</v>
      </c>
      <c r="I241" s="1">
        <v>94</v>
      </c>
      <c r="J241" s="4">
        <v>1.1200000000000001</v>
      </c>
      <c r="K241" s="4">
        <f t="shared" si="11"/>
        <v>2739.76</v>
      </c>
    </row>
    <row r="242" spans="2:11" x14ac:dyDescent="0.2">
      <c r="B242" s="2">
        <v>44068</v>
      </c>
      <c r="C242" s="2">
        <f t="shared" si="9"/>
        <v>44074</v>
      </c>
      <c r="D242" s="16">
        <f t="shared" si="10"/>
        <v>2020</v>
      </c>
      <c r="E242" s="1" t="s">
        <v>8</v>
      </c>
      <c r="F242" s="1" t="s">
        <v>13</v>
      </c>
      <c r="G242" s="3">
        <v>3532.44</v>
      </c>
      <c r="H242" s="3">
        <v>1904.16</v>
      </c>
      <c r="I242" s="1">
        <v>81</v>
      </c>
      <c r="J242" s="4">
        <v>4.49</v>
      </c>
      <c r="K242" s="4">
        <f t="shared" si="11"/>
        <v>1628.28</v>
      </c>
    </row>
    <row r="243" spans="2:11" x14ac:dyDescent="0.2">
      <c r="B243" s="2">
        <v>44069</v>
      </c>
      <c r="C243" s="2">
        <f t="shared" si="9"/>
        <v>44074</v>
      </c>
      <c r="D243" s="16">
        <f t="shared" si="10"/>
        <v>2020</v>
      </c>
      <c r="E243" s="1" t="s">
        <v>9</v>
      </c>
      <c r="F243" s="1" t="s">
        <v>16</v>
      </c>
      <c r="G243" s="3">
        <v>5612.38</v>
      </c>
      <c r="H243" s="3">
        <v>2929.37</v>
      </c>
      <c r="I243" s="1">
        <v>64</v>
      </c>
      <c r="J243" s="4">
        <v>3.11</v>
      </c>
      <c r="K243" s="4">
        <f t="shared" si="11"/>
        <v>2683.01</v>
      </c>
    </row>
    <row r="244" spans="2:11" x14ac:dyDescent="0.2">
      <c r="B244" s="2">
        <v>44070</v>
      </c>
      <c r="C244" s="2">
        <f t="shared" si="9"/>
        <v>44074</v>
      </c>
      <c r="D244" s="16">
        <f t="shared" si="10"/>
        <v>2020</v>
      </c>
      <c r="E244" s="1" t="s">
        <v>9</v>
      </c>
      <c r="F244" s="1" t="s">
        <v>15</v>
      </c>
      <c r="G244" s="3">
        <v>2446.12</v>
      </c>
      <c r="H244" s="3">
        <v>5063.7700000000004</v>
      </c>
      <c r="I244" s="1">
        <v>18</v>
      </c>
      <c r="J244" s="4">
        <v>3.53</v>
      </c>
      <c r="K244" s="4">
        <f t="shared" si="11"/>
        <v>-2617.6500000000005</v>
      </c>
    </row>
    <row r="245" spans="2:11" x14ac:dyDescent="0.2">
      <c r="B245" s="2">
        <v>44071</v>
      </c>
      <c r="C245" s="2">
        <f t="shared" si="9"/>
        <v>44074</v>
      </c>
      <c r="D245" s="16">
        <f t="shared" si="10"/>
        <v>2020</v>
      </c>
      <c r="E245" s="1" t="s">
        <v>10</v>
      </c>
      <c r="F245" s="1" t="s">
        <v>13</v>
      </c>
      <c r="G245" s="3">
        <v>6543.73</v>
      </c>
      <c r="H245" s="3">
        <v>2357.06</v>
      </c>
      <c r="I245" s="1">
        <v>56</v>
      </c>
      <c r="J245" s="4">
        <v>3.58</v>
      </c>
      <c r="K245" s="4">
        <f t="shared" si="11"/>
        <v>4186.67</v>
      </c>
    </row>
    <row r="246" spans="2:11" x14ac:dyDescent="0.2">
      <c r="B246" s="2">
        <v>44072</v>
      </c>
      <c r="C246" s="2">
        <f t="shared" si="9"/>
        <v>44074</v>
      </c>
      <c r="D246" s="16">
        <f t="shared" si="10"/>
        <v>2020</v>
      </c>
      <c r="E246" s="1" t="s">
        <v>12</v>
      </c>
      <c r="F246" s="1" t="s">
        <v>16</v>
      </c>
      <c r="G246" s="3">
        <v>5708.9</v>
      </c>
      <c r="H246" s="3">
        <v>4311.29</v>
      </c>
      <c r="I246" s="1">
        <v>24</v>
      </c>
      <c r="J246" s="4">
        <v>4.28</v>
      </c>
      <c r="K246" s="4">
        <f t="shared" si="11"/>
        <v>1397.6099999999997</v>
      </c>
    </row>
    <row r="247" spans="2:11" x14ac:dyDescent="0.2">
      <c r="B247" s="2">
        <v>44073</v>
      </c>
      <c r="C247" s="2">
        <f t="shared" si="9"/>
        <v>44074</v>
      </c>
      <c r="D247" s="16">
        <f t="shared" si="10"/>
        <v>2020</v>
      </c>
      <c r="E247" s="1" t="s">
        <v>12</v>
      </c>
      <c r="F247" s="1" t="s">
        <v>16</v>
      </c>
      <c r="G247" s="3">
        <v>5384.04</v>
      </c>
      <c r="H247" s="3">
        <v>4342.16</v>
      </c>
      <c r="I247" s="1">
        <v>57</v>
      </c>
      <c r="J247" s="4">
        <v>2.33</v>
      </c>
      <c r="K247" s="4">
        <f t="shared" si="11"/>
        <v>1041.8800000000001</v>
      </c>
    </row>
    <row r="248" spans="2:11" x14ac:dyDescent="0.2">
      <c r="B248" s="2">
        <v>44074</v>
      </c>
      <c r="C248" s="2">
        <f t="shared" si="9"/>
        <v>44074</v>
      </c>
      <c r="D248" s="16">
        <f t="shared" si="10"/>
        <v>2020</v>
      </c>
      <c r="E248" s="1" t="s">
        <v>10</v>
      </c>
      <c r="F248" s="1" t="s">
        <v>15</v>
      </c>
      <c r="G248" s="3">
        <v>6474.04</v>
      </c>
      <c r="H248" s="3">
        <v>2557.13</v>
      </c>
      <c r="I248" s="1">
        <v>91</v>
      </c>
      <c r="J248" s="4">
        <v>3.93</v>
      </c>
      <c r="K248" s="4">
        <f t="shared" si="11"/>
        <v>3916.91</v>
      </c>
    </row>
    <row r="249" spans="2:11" x14ac:dyDescent="0.2">
      <c r="B249" s="2">
        <v>44075</v>
      </c>
      <c r="C249" s="2">
        <f t="shared" si="9"/>
        <v>44104</v>
      </c>
      <c r="D249" s="16">
        <f t="shared" si="10"/>
        <v>2020</v>
      </c>
      <c r="E249" s="1" t="s">
        <v>10</v>
      </c>
      <c r="F249" s="1" t="s">
        <v>15</v>
      </c>
      <c r="G249" s="3">
        <v>7498.21</v>
      </c>
      <c r="H249" s="3">
        <v>3455.19</v>
      </c>
      <c r="I249" s="1">
        <v>51</v>
      </c>
      <c r="J249" s="4">
        <v>3.11</v>
      </c>
      <c r="K249" s="4">
        <f t="shared" si="11"/>
        <v>4043.02</v>
      </c>
    </row>
    <row r="250" spans="2:11" x14ac:dyDescent="0.2">
      <c r="B250" s="2">
        <v>44076</v>
      </c>
      <c r="C250" s="2">
        <f t="shared" si="9"/>
        <v>44104</v>
      </c>
      <c r="D250" s="16">
        <f t="shared" si="10"/>
        <v>2020</v>
      </c>
      <c r="E250" s="1" t="s">
        <v>10</v>
      </c>
      <c r="F250" s="1" t="s">
        <v>15</v>
      </c>
      <c r="G250" s="3">
        <v>6521.56</v>
      </c>
      <c r="H250" s="3">
        <v>4302.72</v>
      </c>
      <c r="I250" s="1">
        <v>69</v>
      </c>
      <c r="J250" s="4">
        <v>4.17</v>
      </c>
      <c r="K250" s="4">
        <f t="shared" si="11"/>
        <v>2218.84</v>
      </c>
    </row>
    <row r="251" spans="2:11" x14ac:dyDescent="0.2">
      <c r="B251" s="2">
        <v>44077</v>
      </c>
      <c r="C251" s="2">
        <f t="shared" si="9"/>
        <v>44104</v>
      </c>
      <c r="D251" s="16">
        <f t="shared" si="10"/>
        <v>2020</v>
      </c>
      <c r="E251" s="1" t="s">
        <v>8</v>
      </c>
      <c r="F251" s="1" t="s">
        <v>13</v>
      </c>
      <c r="G251" s="3">
        <v>2238.69</v>
      </c>
      <c r="H251" s="3">
        <v>2696.7</v>
      </c>
      <c r="I251" s="1">
        <v>93</v>
      </c>
      <c r="J251" s="4">
        <v>4.96</v>
      </c>
      <c r="K251" s="4">
        <f t="shared" si="11"/>
        <v>-458.00999999999976</v>
      </c>
    </row>
    <row r="252" spans="2:11" x14ac:dyDescent="0.2">
      <c r="B252" s="2">
        <v>44078</v>
      </c>
      <c r="C252" s="2">
        <f t="shared" si="9"/>
        <v>44104</v>
      </c>
      <c r="D252" s="16">
        <f t="shared" si="10"/>
        <v>2020</v>
      </c>
      <c r="E252" s="1" t="s">
        <v>12</v>
      </c>
      <c r="F252" s="1" t="s">
        <v>15</v>
      </c>
      <c r="G252" s="3">
        <v>3080.63</v>
      </c>
      <c r="H252" s="3">
        <v>2837.14</v>
      </c>
      <c r="I252" s="1">
        <v>79</v>
      </c>
      <c r="J252" s="4">
        <v>1.8</v>
      </c>
      <c r="K252" s="4">
        <f t="shared" si="11"/>
        <v>243.49000000000024</v>
      </c>
    </row>
    <row r="253" spans="2:11" x14ac:dyDescent="0.2">
      <c r="B253" s="2">
        <v>44079</v>
      </c>
      <c r="C253" s="2">
        <f t="shared" si="9"/>
        <v>44104</v>
      </c>
      <c r="D253" s="16">
        <f t="shared" si="10"/>
        <v>2020</v>
      </c>
      <c r="E253" s="1" t="s">
        <v>8</v>
      </c>
      <c r="F253" s="1" t="s">
        <v>16</v>
      </c>
      <c r="G253" s="3">
        <v>4062.77</v>
      </c>
      <c r="H253" s="3">
        <v>2534.66</v>
      </c>
      <c r="I253" s="1">
        <v>21</v>
      </c>
      <c r="J253" s="4">
        <v>4.9800000000000004</v>
      </c>
      <c r="K253" s="4">
        <f t="shared" si="11"/>
        <v>1528.1100000000001</v>
      </c>
    </row>
    <row r="254" spans="2:11" x14ac:dyDescent="0.2">
      <c r="B254" s="2">
        <v>44080</v>
      </c>
      <c r="C254" s="2">
        <f t="shared" si="9"/>
        <v>44104</v>
      </c>
      <c r="D254" s="16">
        <f t="shared" si="10"/>
        <v>2020</v>
      </c>
      <c r="E254" s="1" t="s">
        <v>10</v>
      </c>
      <c r="F254" s="1" t="s">
        <v>16</v>
      </c>
      <c r="G254" s="3">
        <v>5039.1400000000003</v>
      </c>
      <c r="H254" s="3">
        <v>2188.19</v>
      </c>
      <c r="I254" s="1">
        <v>11</v>
      </c>
      <c r="J254" s="4">
        <v>1.36</v>
      </c>
      <c r="K254" s="4">
        <f t="shared" si="11"/>
        <v>2850.9500000000003</v>
      </c>
    </row>
    <row r="255" spans="2:11" x14ac:dyDescent="0.2">
      <c r="B255" s="2">
        <v>44081</v>
      </c>
      <c r="C255" s="2">
        <f t="shared" si="9"/>
        <v>44104</v>
      </c>
      <c r="D255" s="16">
        <f t="shared" si="10"/>
        <v>2020</v>
      </c>
      <c r="E255" s="1" t="s">
        <v>12</v>
      </c>
      <c r="F255" s="1" t="s">
        <v>15</v>
      </c>
      <c r="G255" s="3">
        <v>5776.49</v>
      </c>
      <c r="H255" s="3">
        <v>2480.58</v>
      </c>
      <c r="I255" s="1">
        <v>16</v>
      </c>
      <c r="J255" s="4">
        <v>1.01</v>
      </c>
      <c r="K255" s="4">
        <f t="shared" si="11"/>
        <v>3295.91</v>
      </c>
    </row>
    <row r="256" spans="2:11" x14ac:dyDescent="0.2">
      <c r="B256" s="2">
        <v>44082</v>
      </c>
      <c r="C256" s="2">
        <f t="shared" si="9"/>
        <v>44104</v>
      </c>
      <c r="D256" s="16">
        <f t="shared" si="10"/>
        <v>2020</v>
      </c>
      <c r="E256" s="1" t="s">
        <v>8</v>
      </c>
      <c r="F256" s="1" t="s">
        <v>15</v>
      </c>
      <c r="G256" s="3">
        <v>3911.38</v>
      </c>
      <c r="H256" s="3">
        <v>2020.85</v>
      </c>
      <c r="I256" s="1">
        <v>89</v>
      </c>
      <c r="J256" s="4">
        <v>1.18</v>
      </c>
      <c r="K256" s="4">
        <f t="shared" si="11"/>
        <v>1890.5300000000002</v>
      </c>
    </row>
    <row r="257" spans="2:11" x14ac:dyDescent="0.2">
      <c r="B257" s="2">
        <v>44083</v>
      </c>
      <c r="C257" s="2">
        <f t="shared" si="9"/>
        <v>44104</v>
      </c>
      <c r="D257" s="16">
        <f t="shared" si="10"/>
        <v>2020</v>
      </c>
      <c r="E257" s="1" t="s">
        <v>8</v>
      </c>
      <c r="F257" s="1" t="s">
        <v>14</v>
      </c>
      <c r="G257" s="3">
        <v>5280.15</v>
      </c>
      <c r="H257" s="3">
        <v>3027.27</v>
      </c>
      <c r="I257" s="1">
        <v>12</v>
      </c>
      <c r="J257" s="4">
        <v>2.37</v>
      </c>
      <c r="K257" s="4">
        <f t="shared" si="11"/>
        <v>2252.8799999999997</v>
      </c>
    </row>
    <row r="258" spans="2:11" x14ac:dyDescent="0.2">
      <c r="B258" s="2">
        <v>44084</v>
      </c>
      <c r="C258" s="2">
        <f t="shared" si="9"/>
        <v>44104</v>
      </c>
      <c r="D258" s="16">
        <f t="shared" si="10"/>
        <v>2020</v>
      </c>
      <c r="E258" s="1" t="s">
        <v>10</v>
      </c>
      <c r="F258" s="1" t="s">
        <v>16</v>
      </c>
      <c r="G258" s="3">
        <v>3866.93</v>
      </c>
      <c r="H258" s="3">
        <v>2384.02</v>
      </c>
      <c r="I258" s="1">
        <v>12</v>
      </c>
      <c r="J258" s="4">
        <v>3.53</v>
      </c>
      <c r="K258" s="4">
        <f t="shared" si="11"/>
        <v>1482.9099999999999</v>
      </c>
    </row>
    <row r="259" spans="2:11" x14ac:dyDescent="0.2">
      <c r="B259" s="2">
        <v>44085</v>
      </c>
      <c r="C259" s="2">
        <f t="shared" si="9"/>
        <v>44104</v>
      </c>
      <c r="D259" s="16">
        <f t="shared" si="10"/>
        <v>2020</v>
      </c>
      <c r="E259" s="1" t="s">
        <v>12</v>
      </c>
      <c r="F259" s="1" t="s">
        <v>13</v>
      </c>
      <c r="G259" s="3">
        <v>4082.72</v>
      </c>
      <c r="H259" s="3">
        <v>3187.03</v>
      </c>
      <c r="I259" s="1">
        <v>36</v>
      </c>
      <c r="J259" s="4">
        <v>1.28</v>
      </c>
      <c r="K259" s="4">
        <f t="shared" si="11"/>
        <v>895.6899999999996</v>
      </c>
    </row>
    <row r="260" spans="2:11" x14ac:dyDescent="0.2">
      <c r="B260" s="2">
        <v>44086</v>
      </c>
      <c r="C260" s="2">
        <f t="shared" si="9"/>
        <v>44104</v>
      </c>
      <c r="D260" s="16">
        <f t="shared" si="10"/>
        <v>2020</v>
      </c>
      <c r="E260" s="1" t="s">
        <v>10</v>
      </c>
      <c r="F260" s="1" t="s">
        <v>14</v>
      </c>
      <c r="G260" s="3">
        <v>2890.01</v>
      </c>
      <c r="H260" s="3">
        <v>1755.28</v>
      </c>
      <c r="I260" s="1">
        <v>49</v>
      </c>
      <c r="J260" s="4">
        <v>1.02</v>
      </c>
      <c r="K260" s="4">
        <f t="shared" si="11"/>
        <v>1134.7300000000002</v>
      </c>
    </row>
    <row r="261" spans="2:11" x14ac:dyDescent="0.2">
      <c r="B261" s="2">
        <v>44087</v>
      </c>
      <c r="C261" s="2">
        <f t="shared" si="9"/>
        <v>44104</v>
      </c>
      <c r="D261" s="16">
        <f t="shared" si="10"/>
        <v>2020</v>
      </c>
      <c r="E261" s="1" t="s">
        <v>12</v>
      </c>
      <c r="F261" s="1" t="s">
        <v>15</v>
      </c>
      <c r="G261" s="3">
        <v>3615.15</v>
      </c>
      <c r="H261" s="3">
        <v>3264.7</v>
      </c>
      <c r="I261" s="1">
        <v>42</v>
      </c>
      <c r="J261" s="4">
        <v>4.75</v>
      </c>
      <c r="K261" s="4">
        <f t="shared" si="11"/>
        <v>350.45000000000027</v>
      </c>
    </row>
    <row r="262" spans="2:11" x14ac:dyDescent="0.2">
      <c r="B262" s="2">
        <v>44088</v>
      </c>
      <c r="C262" s="2">
        <f t="shared" ref="C262:C325" si="12">EOMONTH(B262,0)</f>
        <v>44104</v>
      </c>
      <c r="D262" s="16">
        <f t="shared" ref="D262:D325" si="13">YEAR(B262)</f>
        <v>2020</v>
      </c>
      <c r="E262" s="1" t="s">
        <v>9</v>
      </c>
      <c r="F262" s="1" t="s">
        <v>15</v>
      </c>
      <c r="G262" s="3">
        <v>2972.47</v>
      </c>
      <c r="H262" s="3">
        <v>3666.82</v>
      </c>
      <c r="I262" s="1">
        <v>10</v>
      </c>
      <c r="J262" s="4">
        <v>4.29</v>
      </c>
      <c r="K262" s="4">
        <f t="shared" ref="K262:K325" si="14">G262-H262</f>
        <v>-694.35000000000036</v>
      </c>
    </row>
    <row r="263" spans="2:11" x14ac:dyDescent="0.2">
      <c r="B263" s="2">
        <v>44089</v>
      </c>
      <c r="C263" s="2">
        <f t="shared" si="12"/>
        <v>44104</v>
      </c>
      <c r="D263" s="16">
        <f t="shared" si="13"/>
        <v>2020</v>
      </c>
      <c r="E263" s="1" t="s">
        <v>11</v>
      </c>
      <c r="F263" s="1" t="s">
        <v>16</v>
      </c>
      <c r="G263" s="3">
        <v>3536.19</v>
      </c>
      <c r="H263" s="3">
        <v>1405.01</v>
      </c>
      <c r="I263" s="1">
        <v>17</v>
      </c>
      <c r="J263" s="4">
        <v>4.24</v>
      </c>
      <c r="K263" s="4">
        <f t="shared" si="14"/>
        <v>2131.1800000000003</v>
      </c>
    </row>
    <row r="264" spans="2:11" x14ac:dyDescent="0.2">
      <c r="B264" s="2">
        <v>44090</v>
      </c>
      <c r="C264" s="2">
        <f t="shared" si="12"/>
        <v>44104</v>
      </c>
      <c r="D264" s="16">
        <f t="shared" si="13"/>
        <v>2020</v>
      </c>
      <c r="E264" s="1" t="s">
        <v>11</v>
      </c>
      <c r="F264" s="1" t="s">
        <v>15</v>
      </c>
      <c r="G264" s="3">
        <v>6580.46</v>
      </c>
      <c r="H264" s="3">
        <v>3299.25</v>
      </c>
      <c r="I264" s="1">
        <v>41</v>
      </c>
      <c r="J264" s="4">
        <v>4.54</v>
      </c>
      <c r="K264" s="4">
        <f t="shared" si="14"/>
        <v>3281.21</v>
      </c>
    </row>
    <row r="265" spans="2:11" x14ac:dyDescent="0.2">
      <c r="B265" s="2">
        <v>44091</v>
      </c>
      <c r="C265" s="2">
        <f t="shared" si="12"/>
        <v>44104</v>
      </c>
      <c r="D265" s="16">
        <f t="shared" si="13"/>
        <v>2020</v>
      </c>
      <c r="E265" s="1" t="s">
        <v>11</v>
      </c>
      <c r="F265" s="1" t="s">
        <v>13</v>
      </c>
      <c r="G265" s="3">
        <v>3575.9</v>
      </c>
      <c r="H265" s="3">
        <v>3982.14</v>
      </c>
      <c r="I265" s="1">
        <v>57</v>
      </c>
      <c r="J265" s="4">
        <v>3.8</v>
      </c>
      <c r="K265" s="4">
        <f t="shared" si="14"/>
        <v>-406.23999999999978</v>
      </c>
    </row>
    <row r="266" spans="2:11" x14ac:dyDescent="0.2">
      <c r="B266" s="2">
        <v>44092</v>
      </c>
      <c r="C266" s="2">
        <f t="shared" si="12"/>
        <v>44104</v>
      </c>
      <c r="D266" s="16">
        <f t="shared" si="13"/>
        <v>2020</v>
      </c>
      <c r="E266" s="1" t="s">
        <v>10</v>
      </c>
      <c r="F266" s="1" t="s">
        <v>16</v>
      </c>
      <c r="G266" s="3">
        <v>8948.57</v>
      </c>
      <c r="H266" s="3">
        <v>2032.29</v>
      </c>
      <c r="I266" s="1">
        <v>13</v>
      </c>
      <c r="J266" s="4">
        <v>1.42</v>
      </c>
      <c r="K266" s="4">
        <f t="shared" si="14"/>
        <v>6916.28</v>
      </c>
    </row>
    <row r="267" spans="2:11" x14ac:dyDescent="0.2">
      <c r="B267" s="2">
        <v>44093</v>
      </c>
      <c r="C267" s="2">
        <f t="shared" si="12"/>
        <v>44104</v>
      </c>
      <c r="D267" s="16">
        <f t="shared" si="13"/>
        <v>2020</v>
      </c>
      <c r="E267" s="1" t="s">
        <v>9</v>
      </c>
      <c r="F267" s="1" t="s">
        <v>15</v>
      </c>
      <c r="G267" s="3">
        <v>5739.98</v>
      </c>
      <c r="H267" s="3">
        <v>4338.0600000000004</v>
      </c>
      <c r="I267" s="1">
        <v>79</v>
      </c>
      <c r="J267" s="4">
        <v>2.6</v>
      </c>
      <c r="K267" s="4">
        <f t="shared" si="14"/>
        <v>1401.9199999999992</v>
      </c>
    </row>
    <row r="268" spans="2:11" x14ac:dyDescent="0.2">
      <c r="B268" s="2">
        <v>44094</v>
      </c>
      <c r="C268" s="2">
        <f t="shared" si="12"/>
        <v>44104</v>
      </c>
      <c r="D268" s="16">
        <f t="shared" si="13"/>
        <v>2020</v>
      </c>
      <c r="E268" s="1" t="s">
        <v>12</v>
      </c>
      <c r="F268" s="1" t="s">
        <v>16</v>
      </c>
      <c r="G268" s="3">
        <v>5277.25</v>
      </c>
      <c r="H268" s="3">
        <v>3335.22</v>
      </c>
      <c r="I268" s="1">
        <v>28</v>
      </c>
      <c r="J268" s="4">
        <v>3.89</v>
      </c>
      <c r="K268" s="4">
        <f t="shared" si="14"/>
        <v>1942.0300000000002</v>
      </c>
    </row>
    <row r="269" spans="2:11" x14ac:dyDescent="0.2">
      <c r="B269" s="2">
        <v>44095</v>
      </c>
      <c r="C269" s="2">
        <f t="shared" si="12"/>
        <v>44104</v>
      </c>
      <c r="D269" s="16">
        <f t="shared" si="13"/>
        <v>2020</v>
      </c>
      <c r="E269" s="1" t="s">
        <v>8</v>
      </c>
      <c r="F269" s="1" t="s">
        <v>15</v>
      </c>
      <c r="G269" s="3">
        <v>3712.46</v>
      </c>
      <c r="H269" s="3">
        <v>2435.9899999999998</v>
      </c>
      <c r="I269" s="1">
        <v>41</v>
      </c>
      <c r="J269" s="4">
        <v>2.12</v>
      </c>
      <c r="K269" s="4">
        <f t="shared" si="14"/>
        <v>1276.4700000000003</v>
      </c>
    </row>
    <row r="270" spans="2:11" x14ac:dyDescent="0.2">
      <c r="B270" s="2">
        <v>44096</v>
      </c>
      <c r="C270" s="2">
        <f t="shared" si="12"/>
        <v>44104</v>
      </c>
      <c r="D270" s="16">
        <f t="shared" si="13"/>
        <v>2020</v>
      </c>
      <c r="E270" s="1" t="s">
        <v>12</v>
      </c>
      <c r="F270" s="1" t="s">
        <v>15</v>
      </c>
      <c r="G270" s="3">
        <v>6050.46</v>
      </c>
      <c r="H270" s="3">
        <v>2955.38</v>
      </c>
      <c r="I270" s="1">
        <v>18</v>
      </c>
      <c r="J270" s="4">
        <v>3.75</v>
      </c>
      <c r="K270" s="4">
        <f t="shared" si="14"/>
        <v>3095.08</v>
      </c>
    </row>
    <row r="271" spans="2:11" x14ac:dyDescent="0.2">
      <c r="B271" s="2">
        <v>44097</v>
      </c>
      <c r="C271" s="2">
        <f t="shared" si="12"/>
        <v>44104</v>
      </c>
      <c r="D271" s="16">
        <f t="shared" si="13"/>
        <v>2020</v>
      </c>
      <c r="E271" s="1" t="s">
        <v>8</v>
      </c>
      <c r="F271" s="1" t="s">
        <v>15</v>
      </c>
      <c r="G271" s="3">
        <v>4136.54</v>
      </c>
      <c r="H271" s="3">
        <v>3446.66</v>
      </c>
      <c r="I271" s="1">
        <v>21</v>
      </c>
      <c r="J271" s="4">
        <v>1.1000000000000001</v>
      </c>
      <c r="K271" s="4">
        <f t="shared" si="14"/>
        <v>689.88000000000011</v>
      </c>
    </row>
    <row r="272" spans="2:11" x14ac:dyDescent="0.2">
      <c r="B272" s="2">
        <v>44098</v>
      </c>
      <c r="C272" s="2">
        <f t="shared" si="12"/>
        <v>44104</v>
      </c>
      <c r="D272" s="16">
        <f t="shared" si="13"/>
        <v>2020</v>
      </c>
      <c r="E272" s="1" t="s">
        <v>12</v>
      </c>
      <c r="F272" s="1" t="s">
        <v>13</v>
      </c>
      <c r="G272" s="3">
        <v>5183.01</v>
      </c>
      <c r="H272" s="3">
        <v>3060.8</v>
      </c>
      <c r="I272" s="1">
        <v>20</v>
      </c>
      <c r="J272" s="4">
        <v>2.2200000000000002</v>
      </c>
      <c r="K272" s="4">
        <f t="shared" si="14"/>
        <v>2122.21</v>
      </c>
    </row>
    <row r="273" spans="2:11" x14ac:dyDescent="0.2">
      <c r="B273" s="2">
        <v>44099</v>
      </c>
      <c r="C273" s="2">
        <f t="shared" si="12"/>
        <v>44104</v>
      </c>
      <c r="D273" s="16">
        <f t="shared" si="13"/>
        <v>2020</v>
      </c>
      <c r="E273" s="1" t="s">
        <v>9</v>
      </c>
      <c r="F273" s="1" t="s">
        <v>13</v>
      </c>
      <c r="G273" s="3">
        <v>8840.1299999999992</v>
      </c>
      <c r="H273" s="3">
        <v>3431</v>
      </c>
      <c r="I273" s="1">
        <v>55</v>
      </c>
      <c r="J273" s="4">
        <v>3.2</v>
      </c>
      <c r="K273" s="4">
        <f t="shared" si="14"/>
        <v>5409.1299999999992</v>
      </c>
    </row>
    <row r="274" spans="2:11" x14ac:dyDescent="0.2">
      <c r="B274" s="2">
        <v>44100</v>
      </c>
      <c r="C274" s="2">
        <f t="shared" si="12"/>
        <v>44104</v>
      </c>
      <c r="D274" s="16">
        <f t="shared" si="13"/>
        <v>2020</v>
      </c>
      <c r="E274" s="1" t="s">
        <v>8</v>
      </c>
      <c r="F274" s="1" t="s">
        <v>16</v>
      </c>
      <c r="G274" s="3">
        <v>4855.91</v>
      </c>
      <c r="H274" s="3">
        <v>2263.46</v>
      </c>
      <c r="I274" s="1">
        <v>25</v>
      </c>
      <c r="J274" s="4">
        <v>3.53</v>
      </c>
      <c r="K274" s="4">
        <f t="shared" si="14"/>
        <v>2592.4499999999998</v>
      </c>
    </row>
    <row r="275" spans="2:11" x14ac:dyDescent="0.2">
      <c r="B275" s="2">
        <v>44101</v>
      </c>
      <c r="C275" s="2">
        <f t="shared" si="12"/>
        <v>44104</v>
      </c>
      <c r="D275" s="16">
        <f t="shared" si="13"/>
        <v>2020</v>
      </c>
      <c r="E275" s="1" t="s">
        <v>10</v>
      </c>
      <c r="F275" s="1" t="s">
        <v>15</v>
      </c>
      <c r="G275" s="3">
        <v>6723.91</v>
      </c>
      <c r="H275" s="3">
        <v>3135.49</v>
      </c>
      <c r="I275" s="1">
        <v>10</v>
      </c>
      <c r="J275" s="4">
        <v>3.31</v>
      </c>
      <c r="K275" s="4">
        <f t="shared" si="14"/>
        <v>3588.42</v>
      </c>
    </row>
    <row r="276" spans="2:11" x14ac:dyDescent="0.2">
      <c r="B276" s="2">
        <v>44102</v>
      </c>
      <c r="C276" s="2">
        <f t="shared" si="12"/>
        <v>44104</v>
      </c>
      <c r="D276" s="16">
        <f t="shared" si="13"/>
        <v>2020</v>
      </c>
      <c r="E276" s="1" t="s">
        <v>12</v>
      </c>
      <c r="F276" s="1" t="s">
        <v>15</v>
      </c>
      <c r="G276" s="3">
        <v>3945.24</v>
      </c>
      <c r="H276" s="3">
        <v>1869.03</v>
      </c>
      <c r="I276" s="1">
        <v>72</v>
      </c>
      <c r="J276" s="4">
        <v>3.79</v>
      </c>
      <c r="K276" s="4">
        <f t="shared" si="14"/>
        <v>2076.21</v>
      </c>
    </row>
    <row r="277" spans="2:11" x14ac:dyDescent="0.2">
      <c r="B277" s="2">
        <v>44103</v>
      </c>
      <c r="C277" s="2">
        <f t="shared" si="12"/>
        <v>44104</v>
      </c>
      <c r="D277" s="16">
        <f t="shared" si="13"/>
        <v>2020</v>
      </c>
      <c r="E277" s="1" t="s">
        <v>12</v>
      </c>
      <c r="F277" s="1" t="s">
        <v>13</v>
      </c>
      <c r="G277" s="3">
        <v>4947.5200000000004</v>
      </c>
      <c r="H277" s="3">
        <v>2911.02</v>
      </c>
      <c r="I277" s="1">
        <v>30</v>
      </c>
      <c r="J277" s="4">
        <v>1.02</v>
      </c>
      <c r="K277" s="4">
        <f t="shared" si="14"/>
        <v>2036.5000000000005</v>
      </c>
    </row>
    <row r="278" spans="2:11" x14ac:dyDescent="0.2">
      <c r="B278" s="2">
        <v>44104</v>
      </c>
      <c r="C278" s="2">
        <f t="shared" si="12"/>
        <v>44104</v>
      </c>
      <c r="D278" s="16">
        <f t="shared" si="13"/>
        <v>2020</v>
      </c>
      <c r="E278" s="1" t="s">
        <v>8</v>
      </c>
      <c r="F278" s="1" t="s">
        <v>15</v>
      </c>
      <c r="G278" s="3">
        <v>7656.2</v>
      </c>
      <c r="H278" s="3">
        <v>2276.87</v>
      </c>
      <c r="I278" s="1">
        <v>39</v>
      </c>
      <c r="J278" s="4">
        <v>1.4</v>
      </c>
      <c r="K278" s="4">
        <f t="shared" si="14"/>
        <v>5379.33</v>
      </c>
    </row>
    <row r="279" spans="2:11" x14ac:dyDescent="0.2">
      <c r="B279" s="2">
        <v>44105</v>
      </c>
      <c r="C279" s="2">
        <f t="shared" si="12"/>
        <v>44135</v>
      </c>
      <c r="D279" s="16">
        <f t="shared" si="13"/>
        <v>2020</v>
      </c>
      <c r="E279" s="1" t="s">
        <v>10</v>
      </c>
      <c r="F279" s="1" t="s">
        <v>13</v>
      </c>
      <c r="G279" s="3">
        <v>4059.55</v>
      </c>
      <c r="H279" s="3">
        <v>2411.58</v>
      </c>
      <c r="I279" s="1">
        <v>22</v>
      </c>
      <c r="J279" s="4">
        <v>4.4800000000000004</v>
      </c>
      <c r="K279" s="4">
        <f t="shared" si="14"/>
        <v>1647.9700000000003</v>
      </c>
    </row>
    <row r="280" spans="2:11" x14ac:dyDescent="0.2">
      <c r="B280" s="2">
        <v>44106</v>
      </c>
      <c r="C280" s="2">
        <f t="shared" si="12"/>
        <v>44135</v>
      </c>
      <c r="D280" s="16">
        <f t="shared" si="13"/>
        <v>2020</v>
      </c>
      <c r="E280" s="1" t="s">
        <v>10</v>
      </c>
      <c r="F280" s="1" t="s">
        <v>15</v>
      </c>
      <c r="G280" s="3">
        <v>7718.67</v>
      </c>
      <c r="H280" s="3">
        <v>3988.87</v>
      </c>
      <c r="I280" s="1">
        <v>43</v>
      </c>
      <c r="J280" s="4">
        <v>3.73</v>
      </c>
      <c r="K280" s="4">
        <f t="shared" si="14"/>
        <v>3729.8</v>
      </c>
    </row>
    <row r="281" spans="2:11" x14ac:dyDescent="0.2">
      <c r="B281" s="2">
        <v>44107</v>
      </c>
      <c r="C281" s="2">
        <f t="shared" si="12"/>
        <v>44135</v>
      </c>
      <c r="D281" s="16">
        <f t="shared" si="13"/>
        <v>2020</v>
      </c>
      <c r="E281" s="1" t="s">
        <v>9</v>
      </c>
      <c r="F281" s="1" t="s">
        <v>16</v>
      </c>
      <c r="G281" s="3">
        <v>6061.63</v>
      </c>
      <c r="H281" s="3">
        <v>3873.05</v>
      </c>
      <c r="I281" s="1">
        <v>13</v>
      </c>
      <c r="J281" s="4">
        <v>1.45</v>
      </c>
      <c r="K281" s="4">
        <f t="shared" si="14"/>
        <v>2188.58</v>
      </c>
    </row>
    <row r="282" spans="2:11" x14ac:dyDescent="0.2">
      <c r="B282" s="2">
        <v>44108</v>
      </c>
      <c r="C282" s="2">
        <f t="shared" si="12"/>
        <v>44135</v>
      </c>
      <c r="D282" s="16">
        <f t="shared" si="13"/>
        <v>2020</v>
      </c>
      <c r="E282" s="1" t="s">
        <v>10</v>
      </c>
      <c r="F282" s="1" t="s">
        <v>15</v>
      </c>
      <c r="G282" s="3">
        <v>4156.3</v>
      </c>
      <c r="H282" s="3">
        <v>3487.31</v>
      </c>
      <c r="I282" s="1">
        <v>37</v>
      </c>
      <c r="J282" s="4">
        <v>4.37</v>
      </c>
      <c r="K282" s="4">
        <f t="shared" si="14"/>
        <v>668.99000000000024</v>
      </c>
    </row>
    <row r="283" spans="2:11" x14ac:dyDescent="0.2">
      <c r="B283" s="2">
        <v>44109</v>
      </c>
      <c r="C283" s="2">
        <f t="shared" si="12"/>
        <v>44135</v>
      </c>
      <c r="D283" s="16">
        <f t="shared" si="13"/>
        <v>2020</v>
      </c>
      <c r="E283" s="1" t="s">
        <v>10</v>
      </c>
      <c r="F283" s="1" t="s">
        <v>15</v>
      </c>
      <c r="G283" s="3">
        <v>5948.61</v>
      </c>
      <c r="H283" s="3">
        <v>2126.15</v>
      </c>
      <c r="I283" s="1">
        <v>68</v>
      </c>
      <c r="J283" s="4">
        <v>1.97</v>
      </c>
      <c r="K283" s="4">
        <f t="shared" si="14"/>
        <v>3822.4599999999996</v>
      </c>
    </row>
    <row r="284" spans="2:11" x14ac:dyDescent="0.2">
      <c r="B284" s="2">
        <v>44110</v>
      </c>
      <c r="C284" s="2">
        <f t="shared" si="12"/>
        <v>44135</v>
      </c>
      <c r="D284" s="16">
        <f t="shared" si="13"/>
        <v>2020</v>
      </c>
      <c r="E284" s="1" t="s">
        <v>10</v>
      </c>
      <c r="F284" s="1" t="s">
        <v>14</v>
      </c>
      <c r="G284" s="3">
        <v>6458.83</v>
      </c>
      <c r="H284" s="3">
        <v>2746.87</v>
      </c>
      <c r="I284" s="1">
        <v>36</v>
      </c>
      <c r="J284" s="4">
        <v>2.91</v>
      </c>
      <c r="K284" s="4">
        <f t="shared" si="14"/>
        <v>3711.96</v>
      </c>
    </row>
    <row r="285" spans="2:11" x14ac:dyDescent="0.2">
      <c r="B285" s="2">
        <v>44111</v>
      </c>
      <c r="C285" s="2">
        <f t="shared" si="12"/>
        <v>44135</v>
      </c>
      <c r="D285" s="16">
        <f t="shared" si="13"/>
        <v>2020</v>
      </c>
      <c r="E285" s="1" t="s">
        <v>11</v>
      </c>
      <c r="F285" s="1" t="s">
        <v>13</v>
      </c>
      <c r="G285" s="3">
        <v>5932.71</v>
      </c>
      <c r="H285" s="3">
        <v>3970.48</v>
      </c>
      <c r="I285" s="1">
        <v>78</v>
      </c>
      <c r="J285" s="4">
        <v>1.58</v>
      </c>
      <c r="K285" s="4">
        <f t="shared" si="14"/>
        <v>1962.23</v>
      </c>
    </row>
    <row r="286" spans="2:11" x14ac:dyDescent="0.2">
      <c r="B286" s="2">
        <v>44112</v>
      </c>
      <c r="C286" s="2">
        <f t="shared" si="12"/>
        <v>44135</v>
      </c>
      <c r="D286" s="16">
        <f t="shared" si="13"/>
        <v>2020</v>
      </c>
      <c r="E286" s="1" t="s">
        <v>9</v>
      </c>
      <c r="F286" s="1" t="s">
        <v>15</v>
      </c>
      <c r="G286" s="3">
        <v>2644.66</v>
      </c>
      <c r="H286" s="3">
        <v>3113.37</v>
      </c>
      <c r="I286" s="1">
        <v>34</v>
      </c>
      <c r="J286" s="4">
        <v>3.84</v>
      </c>
      <c r="K286" s="4">
        <f t="shared" si="14"/>
        <v>-468.71000000000004</v>
      </c>
    </row>
    <row r="287" spans="2:11" x14ac:dyDescent="0.2">
      <c r="B287" s="2">
        <v>44113</v>
      </c>
      <c r="C287" s="2">
        <f t="shared" si="12"/>
        <v>44135</v>
      </c>
      <c r="D287" s="16">
        <f t="shared" si="13"/>
        <v>2020</v>
      </c>
      <c r="E287" s="1" t="s">
        <v>12</v>
      </c>
      <c r="F287" s="1" t="s">
        <v>15</v>
      </c>
      <c r="G287" s="3">
        <v>3909.29</v>
      </c>
      <c r="H287" s="3">
        <v>4855.46</v>
      </c>
      <c r="I287" s="1">
        <v>12</v>
      </c>
      <c r="J287" s="4">
        <v>3.67</v>
      </c>
      <c r="K287" s="4">
        <f t="shared" si="14"/>
        <v>-946.17000000000007</v>
      </c>
    </row>
    <row r="288" spans="2:11" x14ac:dyDescent="0.2">
      <c r="B288" s="2">
        <v>44114</v>
      </c>
      <c r="C288" s="2">
        <f t="shared" si="12"/>
        <v>44135</v>
      </c>
      <c r="D288" s="16">
        <f t="shared" si="13"/>
        <v>2020</v>
      </c>
      <c r="E288" s="1" t="s">
        <v>8</v>
      </c>
      <c r="F288" s="1" t="s">
        <v>14</v>
      </c>
      <c r="G288" s="3">
        <v>4628.72</v>
      </c>
      <c r="H288" s="3">
        <v>3314.65</v>
      </c>
      <c r="I288" s="1">
        <v>77</v>
      </c>
      <c r="J288" s="4">
        <v>1.84</v>
      </c>
      <c r="K288" s="4">
        <f t="shared" si="14"/>
        <v>1314.0700000000002</v>
      </c>
    </row>
    <row r="289" spans="2:11" x14ac:dyDescent="0.2">
      <c r="B289" s="2">
        <v>44115</v>
      </c>
      <c r="C289" s="2">
        <f t="shared" si="12"/>
        <v>44135</v>
      </c>
      <c r="D289" s="16">
        <f t="shared" si="13"/>
        <v>2020</v>
      </c>
      <c r="E289" s="1" t="s">
        <v>12</v>
      </c>
      <c r="F289" s="1" t="s">
        <v>14</v>
      </c>
      <c r="G289" s="3">
        <v>4888.3500000000004</v>
      </c>
      <c r="H289" s="3">
        <v>3153.64</v>
      </c>
      <c r="I289" s="1">
        <v>34</v>
      </c>
      <c r="J289" s="4">
        <v>4.45</v>
      </c>
      <c r="K289" s="4">
        <f t="shared" si="14"/>
        <v>1734.7100000000005</v>
      </c>
    </row>
    <row r="290" spans="2:11" x14ac:dyDescent="0.2">
      <c r="B290" s="2">
        <v>44116</v>
      </c>
      <c r="C290" s="2">
        <f t="shared" si="12"/>
        <v>44135</v>
      </c>
      <c r="D290" s="16">
        <f t="shared" si="13"/>
        <v>2020</v>
      </c>
      <c r="E290" s="1" t="s">
        <v>9</v>
      </c>
      <c r="F290" s="1" t="s">
        <v>13</v>
      </c>
      <c r="G290" s="3">
        <v>5931.01</v>
      </c>
      <c r="H290" s="3">
        <v>2752.71</v>
      </c>
      <c r="I290" s="1">
        <v>29</v>
      </c>
      <c r="J290" s="4">
        <v>2.61</v>
      </c>
      <c r="K290" s="4">
        <f t="shared" si="14"/>
        <v>3178.3</v>
      </c>
    </row>
    <row r="291" spans="2:11" x14ac:dyDescent="0.2">
      <c r="B291" s="2">
        <v>44117</v>
      </c>
      <c r="C291" s="2">
        <f t="shared" si="12"/>
        <v>44135</v>
      </c>
      <c r="D291" s="16">
        <f t="shared" si="13"/>
        <v>2020</v>
      </c>
      <c r="E291" s="1" t="s">
        <v>8</v>
      </c>
      <c r="F291" s="1" t="s">
        <v>14</v>
      </c>
      <c r="G291" s="3">
        <v>5266.55</v>
      </c>
      <c r="H291" s="3">
        <v>3106.83</v>
      </c>
      <c r="I291" s="1">
        <v>43</v>
      </c>
      <c r="J291" s="4">
        <v>2.17</v>
      </c>
      <c r="K291" s="4">
        <f t="shared" si="14"/>
        <v>2159.7200000000003</v>
      </c>
    </row>
    <row r="292" spans="2:11" x14ac:dyDescent="0.2">
      <c r="B292" s="2">
        <v>44118</v>
      </c>
      <c r="C292" s="2">
        <f t="shared" si="12"/>
        <v>44135</v>
      </c>
      <c r="D292" s="16">
        <f t="shared" si="13"/>
        <v>2020</v>
      </c>
      <c r="E292" s="1" t="s">
        <v>9</v>
      </c>
      <c r="F292" s="1" t="s">
        <v>16</v>
      </c>
      <c r="G292" s="3">
        <v>2996.98</v>
      </c>
      <c r="H292" s="3">
        <v>2878.02</v>
      </c>
      <c r="I292" s="1">
        <v>35</v>
      </c>
      <c r="J292" s="4">
        <v>1.61</v>
      </c>
      <c r="K292" s="4">
        <f t="shared" si="14"/>
        <v>118.96000000000004</v>
      </c>
    </row>
    <row r="293" spans="2:11" x14ac:dyDescent="0.2">
      <c r="B293" s="2">
        <v>44119</v>
      </c>
      <c r="C293" s="2">
        <f t="shared" si="12"/>
        <v>44135</v>
      </c>
      <c r="D293" s="16">
        <f t="shared" si="13"/>
        <v>2020</v>
      </c>
      <c r="E293" s="1" t="s">
        <v>10</v>
      </c>
      <c r="F293" s="1" t="s">
        <v>14</v>
      </c>
      <c r="G293" s="3">
        <v>5570.3</v>
      </c>
      <c r="H293" s="3">
        <v>3566.49</v>
      </c>
      <c r="I293" s="1">
        <v>14</v>
      </c>
      <c r="J293" s="4">
        <v>2.06</v>
      </c>
      <c r="K293" s="4">
        <f t="shared" si="14"/>
        <v>2003.8100000000004</v>
      </c>
    </row>
    <row r="294" spans="2:11" x14ac:dyDescent="0.2">
      <c r="B294" s="2">
        <v>44120</v>
      </c>
      <c r="C294" s="2">
        <f t="shared" si="12"/>
        <v>44135</v>
      </c>
      <c r="D294" s="16">
        <f t="shared" si="13"/>
        <v>2020</v>
      </c>
      <c r="E294" s="1" t="s">
        <v>8</v>
      </c>
      <c r="F294" s="1" t="s">
        <v>16</v>
      </c>
      <c r="G294" s="3">
        <v>5915.88</v>
      </c>
      <c r="H294" s="3">
        <v>3765.36</v>
      </c>
      <c r="I294" s="1">
        <v>70</v>
      </c>
      <c r="J294" s="4">
        <v>1.0900000000000001</v>
      </c>
      <c r="K294" s="4">
        <f t="shared" si="14"/>
        <v>2150.52</v>
      </c>
    </row>
    <row r="295" spans="2:11" x14ac:dyDescent="0.2">
      <c r="B295" s="2">
        <v>44121</v>
      </c>
      <c r="C295" s="2">
        <f t="shared" si="12"/>
        <v>44135</v>
      </c>
      <c r="D295" s="16">
        <f t="shared" si="13"/>
        <v>2020</v>
      </c>
      <c r="E295" s="1" t="s">
        <v>10</v>
      </c>
      <c r="F295" s="1" t="s">
        <v>13</v>
      </c>
      <c r="G295" s="3">
        <v>5839.69</v>
      </c>
      <c r="H295" s="3">
        <v>2371.21</v>
      </c>
      <c r="I295" s="1">
        <v>18</v>
      </c>
      <c r="J295" s="4">
        <v>3.33</v>
      </c>
      <c r="K295" s="4">
        <f t="shared" si="14"/>
        <v>3468.4799999999996</v>
      </c>
    </row>
    <row r="296" spans="2:11" x14ac:dyDescent="0.2">
      <c r="B296" s="2">
        <v>44122</v>
      </c>
      <c r="C296" s="2">
        <f t="shared" si="12"/>
        <v>44135</v>
      </c>
      <c r="D296" s="16">
        <f t="shared" si="13"/>
        <v>2020</v>
      </c>
      <c r="E296" s="1" t="s">
        <v>12</v>
      </c>
      <c r="F296" s="1" t="s">
        <v>13</v>
      </c>
      <c r="G296" s="3">
        <v>6621.17</v>
      </c>
      <c r="H296" s="3">
        <v>1935.01</v>
      </c>
      <c r="I296" s="1">
        <v>59</v>
      </c>
      <c r="J296" s="4">
        <v>4.37</v>
      </c>
      <c r="K296" s="4">
        <f t="shared" si="14"/>
        <v>4686.16</v>
      </c>
    </row>
    <row r="297" spans="2:11" x14ac:dyDescent="0.2">
      <c r="B297" s="2">
        <v>44123</v>
      </c>
      <c r="C297" s="2">
        <f t="shared" si="12"/>
        <v>44135</v>
      </c>
      <c r="D297" s="16">
        <f t="shared" si="13"/>
        <v>2020</v>
      </c>
      <c r="E297" s="1" t="s">
        <v>12</v>
      </c>
      <c r="F297" s="1" t="s">
        <v>13</v>
      </c>
      <c r="G297" s="3">
        <v>6250.88</v>
      </c>
      <c r="H297" s="3">
        <v>1531.04</v>
      </c>
      <c r="I297" s="1">
        <v>15</v>
      </c>
      <c r="J297" s="4">
        <v>3.2</v>
      </c>
      <c r="K297" s="4">
        <f t="shared" si="14"/>
        <v>4719.84</v>
      </c>
    </row>
    <row r="298" spans="2:11" x14ac:dyDescent="0.2">
      <c r="B298" s="2">
        <v>44124</v>
      </c>
      <c r="C298" s="2">
        <f t="shared" si="12"/>
        <v>44135</v>
      </c>
      <c r="D298" s="16">
        <f t="shared" si="13"/>
        <v>2020</v>
      </c>
      <c r="E298" s="1" t="s">
        <v>8</v>
      </c>
      <c r="F298" s="1" t="s">
        <v>13</v>
      </c>
      <c r="G298" s="3">
        <v>5688.77</v>
      </c>
      <c r="H298" s="3">
        <v>3406.39</v>
      </c>
      <c r="I298" s="1">
        <v>92</v>
      </c>
      <c r="J298" s="4">
        <v>1.88</v>
      </c>
      <c r="K298" s="4">
        <f t="shared" si="14"/>
        <v>2282.3800000000006</v>
      </c>
    </row>
    <row r="299" spans="2:11" x14ac:dyDescent="0.2">
      <c r="B299" s="2">
        <v>44125</v>
      </c>
      <c r="C299" s="2">
        <f t="shared" si="12"/>
        <v>44135</v>
      </c>
      <c r="D299" s="16">
        <f t="shared" si="13"/>
        <v>2020</v>
      </c>
      <c r="E299" s="1" t="s">
        <v>8</v>
      </c>
      <c r="F299" s="1" t="s">
        <v>13</v>
      </c>
      <c r="G299" s="3">
        <v>4894.75</v>
      </c>
      <c r="H299" s="3">
        <v>2117.31</v>
      </c>
      <c r="I299" s="1">
        <v>69</v>
      </c>
      <c r="J299" s="4">
        <v>1.1299999999999999</v>
      </c>
      <c r="K299" s="4">
        <f t="shared" si="14"/>
        <v>2777.44</v>
      </c>
    </row>
    <row r="300" spans="2:11" x14ac:dyDescent="0.2">
      <c r="B300" s="2">
        <v>44126</v>
      </c>
      <c r="C300" s="2">
        <f t="shared" si="12"/>
        <v>44135</v>
      </c>
      <c r="D300" s="16">
        <f t="shared" si="13"/>
        <v>2020</v>
      </c>
      <c r="E300" s="1" t="s">
        <v>9</v>
      </c>
      <c r="F300" s="1" t="s">
        <v>16</v>
      </c>
      <c r="G300" s="3">
        <v>2508.56</v>
      </c>
      <c r="H300" s="3">
        <v>1277.69</v>
      </c>
      <c r="I300" s="1">
        <v>53</v>
      </c>
      <c r="J300" s="4">
        <v>1.86</v>
      </c>
      <c r="K300" s="4">
        <f t="shared" si="14"/>
        <v>1230.8699999999999</v>
      </c>
    </row>
    <row r="301" spans="2:11" x14ac:dyDescent="0.2">
      <c r="B301" s="2">
        <v>44127</v>
      </c>
      <c r="C301" s="2">
        <f t="shared" si="12"/>
        <v>44135</v>
      </c>
      <c r="D301" s="16">
        <f t="shared" si="13"/>
        <v>2020</v>
      </c>
      <c r="E301" s="1" t="s">
        <v>9</v>
      </c>
      <c r="F301" s="1" t="s">
        <v>16</v>
      </c>
      <c r="G301" s="3">
        <v>5644.43</v>
      </c>
      <c r="H301" s="3">
        <v>3310.86</v>
      </c>
      <c r="I301" s="1">
        <v>20</v>
      </c>
      <c r="J301" s="4">
        <v>2.66</v>
      </c>
      <c r="K301" s="4">
        <f t="shared" si="14"/>
        <v>2333.5700000000002</v>
      </c>
    </row>
    <row r="302" spans="2:11" x14ac:dyDescent="0.2">
      <c r="B302" s="2">
        <v>44128</v>
      </c>
      <c r="C302" s="2">
        <f t="shared" si="12"/>
        <v>44135</v>
      </c>
      <c r="D302" s="16">
        <f t="shared" si="13"/>
        <v>2020</v>
      </c>
      <c r="E302" s="1" t="s">
        <v>10</v>
      </c>
      <c r="F302" s="1" t="s">
        <v>13</v>
      </c>
      <c r="G302" s="3">
        <v>5311.53</v>
      </c>
      <c r="H302" s="3">
        <v>4994.3999999999996</v>
      </c>
      <c r="I302" s="1">
        <v>75</v>
      </c>
      <c r="J302" s="4">
        <v>4.04</v>
      </c>
      <c r="K302" s="4">
        <f t="shared" si="14"/>
        <v>317.13000000000011</v>
      </c>
    </row>
    <row r="303" spans="2:11" x14ac:dyDescent="0.2">
      <c r="B303" s="2">
        <v>44129</v>
      </c>
      <c r="C303" s="2">
        <f t="shared" si="12"/>
        <v>44135</v>
      </c>
      <c r="D303" s="16">
        <f t="shared" si="13"/>
        <v>2020</v>
      </c>
      <c r="E303" s="1" t="s">
        <v>8</v>
      </c>
      <c r="F303" s="1" t="s">
        <v>14</v>
      </c>
      <c r="G303" s="3">
        <v>5407.37</v>
      </c>
      <c r="H303" s="3">
        <v>2995.14</v>
      </c>
      <c r="I303" s="1">
        <v>56</v>
      </c>
      <c r="J303" s="4">
        <v>1.75</v>
      </c>
      <c r="K303" s="4">
        <f t="shared" si="14"/>
        <v>2412.23</v>
      </c>
    </row>
    <row r="304" spans="2:11" x14ac:dyDescent="0.2">
      <c r="B304" s="2">
        <v>44130</v>
      </c>
      <c r="C304" s="2">
        <f t="shared" si="12"/>
        <v>44135</v>
      </c>
      <c r="D304" s="16">
        <f t="shared" si="13"/>
        <v>2020</v>
      </c>
      <c r="E304" s="1" t="s">
        <v>12</v>
      </c>
      <c r="F304" s="1" t="s">
        <v>15</v>
      </c>
      <c r="G304" s="3">
        <v>3084.88</v>
      </c>
      <c r="H304" s="3">
        <v>3670.79</v>
      </c>
      <c r="I304" s="1">
        <v>82</v>
      </c>
      <c r="J304" s="4">
        <v>3.88</v>
      </c>
      <c r="K304" s="4">
        <f t="shared" si="14"/>
        <v>-585.90999999999985</v>
      </c>
    </row>
    <row r="305" spans="2:11" x14ac:dyDescent="0.2">
      <c r="B305" s="2">
        <v>44131</v>
      </c>
      <c r="C305" s="2">
        <f t="shared" si="12"/>
        <v>44135</v>
      </c>
      <c r="D305" s="16">
        <f t="shared" si="13"/>
        <v>2020</v>
      </c>
      <c r="E305" s="1" t="s">
        <v>9</v>
      </c>
      <c r="F305" s="1" t="s">
        <v>13</v>
      </c>
      <c r="G305" s="3">
        <v>3378.42</v>
      </c>
      <c r="H305" s="3">
        <v>3065.46</v>
      </c>
      <c r="I305" s="1">
        <v>94</v>
      </c>
      <c r="J305" s="4">
        <v>4.47</v>
      </c>
      <c r="K305" s="4">
        <f t="shared" si="14"/>
        <v>312.96000000000004</v>
      </c>
    </row>
    <row r="306" spans="2:11" x14ac:dyDescent="0.2">
      <c r="B306" s="2">
        <v>44132</v>
      </c>
      <c r="C306" s="2">
        <f t="shared" si="12"/>
        <v>44135</v>
      </c>
      <c r="D306" s="16">
        <f t="shared" si="13"/>
        <v>2020</v>
      </c>
      <c r="E306" s="1" t="s">
        <v>9</v>
      </c>
      <c r="F306" s="1" t="s">
        <v>14</v>
      </c>
      <c r="G306" s="3">
        <v>6579.73</v>
      </c>
      <c r="H306" s="3">
        <v>2920.89</v>
      </c>
      <c r="I306" s="1">
        <v>97</v>
      </c>
      <c r="J306" s="4">
        <v>2.82</v>
      </c>
      <c r="K306" s="4">
        <f t="shared" si="14"/>
        <v>3658.8399999999997</v>
      </c>
    </row>
    <row r="307" spans="2:11" x14ac:dyDescent="0.2">
      <c r="B307" s="2">
        <v>44133</v>
      </c>
      <c r="C307" s="2">
        <f t="shared" si="12"/>
        <v>44135</v>
      </c>
      <c r="D307" s="16">
        <f t="shared" si="13"/>
        <v>2020</v>
      </c>
      <c r="E307" s="1" t="s">
        <v>12</v>
      </c>
      <c r="F307" s="1" t="s">
        <v>15</v>
      </c>
      <c r="G307" s="3">
        <v>4940.67</v>
      </c>
      <c r="H307" s="3">
        <v>3735.26</v>
      </c>
      <c r="I307" s="1">
        <v>95</v>
      </c>
      <c r="J307" s="4">
        <v>4.29</v>
      </c>
      <c r="K307" s="4">
        <f t="shared" si="14"/>
        <v>1205.4099999999999</v>
      </c>
    </row>
    <row r="308" spans="2:11" x14ac:dyDescent="0.2">
      <c r="B308" s="2">
        <v>44134</v>
      </c>
      <c r="C308" s="2">
        <f t="shared" si="12"/>
        <v>44135</v>
      </c>
      <c r="D308" s="16">
        <f t="shared" si="13"/>
        <v>2020</v>
      </c>
      <c r="E308" s="1" t="s">
        <v>9</v>
      </c>
      <c r="F308" s="1" t="s">
        <v>13</v>
      </c>
      <c r="G308" s="3">
        <v>6022.25</v>
      </c>
      <c r="H308" s="3">
        <v>2767.78</v>
      </c>
      <c r="I308" s="1">
        <v>12</v>
      </c>
      <c r="J308" s="4">
        <v>3.22</v>
      </c>
      <c r="K308" s="4">
        <f t="shared" si="14"/>
        <v>3254.47</v>
      </c>
    </row>
    <row r="309" spans="2:11" x14ac:dyDescent="0.2">
      <c r="B309" s="2">
        <v>44135</v>
      </c>
      <c r="C309" s="2">
        <f t="shared" si="12"/>
        <v>44135</v>
      </c>
      <c r="D309" s="16">
        <f t="shared" si="13"/>
        <v>2020</v>
      </c>
      <c r="E309" s="1" t="s">
        <v>10</v>
      </c>
      <c r="F309" s="1" t="s">
        <v>13</v>
      </c>
      <c r="G309" s="3">
        <v>5042.4799999999996</v>
      </c>
      <c r="H309" s="3">
        <v>3213.91</v>
      </c>
      <c r="I309" s="1">
        <v>85</v>
      </c>
      <c r="J309" s="4">
        <v>3.55</v>
      </c>
      <c r="K309" s="4">
        <f t="shared" si="14"/>
        <v>1828.5699999999997</v>
      </c>
    </row>
    <row r="310" spans="2:11" x14ac:dyDescent="0.2">
      <c r="B310" s="2">
        <v>44136</v>
      </c>
      <c r="C310" s="2">
        <f t="shared" si="12"/>
        <v>44165</v>
      </c>
      <c r="D310" s="16">
        <f t="shared" si="13"/>
        <v>2020</v>
      </c>
      <c r="E310" s="1" t="s">
        <v>8</v>
      </c>
      <c r="F310" s="1" t="s">
        <v>16</v>
      </c>
      <c r="G310" s="3">
        <v>5044.63</v>
      </c>
      <c r="H310" s="3">
        <v>3257.36</v>
      </c>
      <c r="I310" s="1">
        <v>39</v>
      </c>
      <c r="J310" s="4">
        <v>3.11</v>
      </c>
      <c r="K310" s="4">
        <f t="shared" si="14"/>
        <v>1787.27</v>
      </c>
    </row>
    <row r="311" spans="2:11" x14ac:dyDescent="0.2">
      <c r="B311" s="2">
        <v>44137</v>
      </c>
      <c r="C311" s="2">
        <f t="shared" si="12"/>
        <v>44165</v>
      </c>
      <c r="D311" s="16">
        <f t="shared" si="13"/>
        <v>2020</v>
      </c>
      <c r="E311" s="1" t="s">
        <v>12</v>
      </c>
      <c r="F311" s="1" t="s">
        <v>15</v>
      </c>
      <c r="G311" s="3">
        <v>6407.43</v>
      </c>
      <c r="H311" s="3">
        <v>2465.5300000000002</v>
      </c>
      <c r="I311" s="1">
        <v>99</v>
      </c>
      <c r="J311" s="4">
        <v>2.85</v>
      </c>
      <c r="K311" s="4">
        <f t="shared" si="14"/>
        <v>3941.9</v>
      </c>
    </row>
    <row r="312" spans="2:11" x14ac:dyDescent="0.2">
      <c r="B312" s="2">
        <v>44138</v>
      </c>
      <c r="C312" s="2">
        <f t="shared" si="12"/>
        <v>44165</v>
      </c>
      <c r="D312" s="16">
        <f t="shared" si="13"/>
        <v>2020</v>
      </c>
      <c r="E312" s="1" t="s">
        <v>8</v>
      </c>
      <c r="F312" s="1" t="s">
        <v>15</v>
      </c>
      <c r="G312" s="3">
        <v>4225.93</v>
      </c>
      <c r="H312" s="3">
        <v>3793.63</v>
      </c>
      <c r="I312" s="1">
        <v>30</v>
      </c>
      <c r="J312" s="4">
        <v>1.94</v>
      </c>
      <c r="K312" s="4">
        <f t="shared" si="14"/>
        <v>432.30000000000018</v>
      </c>
    </row>
    <row r="313" spans="2:11" x14ac:dyDescent="0.2">
      <c r="B313" s="2">
        <v>44139</v>
      </c>
      <c r="C313" s="2">
        <f t="shared" si="12"/>
        <v>44165</v>
      </c>
      <c r="D313" s="16">
        <f t="shared" si="13"/>
        <v>2020</v>
      </c>
      <c r="E313" s="1" t="s">
        <v>9</v>
      </c>
      <c r="F313" s="1" t="s">
        <v>14</v>
      </c>
      <c r="G313" s="3">
        <v>5144.18</v>
      </c>
      <c r="H313" s="3">
        <v>2860.03</v>
      </c>
      <c r="I313" s="1">
        <v>37</v>
      </c>
      <c r="J313" s="4">
        <v>2.21</v>
      </c>
      <c r="K313" s="4">
        <f t="shared" si="14"/>
        <v>2284.15</v>
      </c>
    </row>
    <row r="314" spans="2:11" x14ac:dyDescent="0.2">
      <c r="B314" s="2">
        <v>44140</v>
      </c>
      <c r="C314" s="2">
        <f t="shared" si="12"/>
        <v>44165</v>
      </c>
      <c r="D314" s="16">
        <f t="shared" si="13"/>
        <v>2020</v>
      </c>
      <c r="E314" s="1" t="s">
        <v>9</v>
      </c>
      <c r="F314" s="1" t="s">
        <v>16</v>
      </c>
      <c r="G314" s="3">
        <v>4306.59</v>
      </c>
      <c r="H314" s="3">
        <v>2395.4</v>
      </c>
      <c r="I314" s="1">
        <v>99</v>
      </c>
      <c r="J314" s="4">
        <v>2.16</v>
      </c>
      <c r="K314" s="4">
        <f t="shared" si="14"/>
        <v>1911.19</v>
      </c>
    </row>
    <row r="315" spans="2:11" x14ac:dyDescent="0.2">
      <c r="B315" s="2">
        <v>44141</v>
      </c>
      <c r="C315" s="2">
        <f t="shared" si="12"/>
        <v>44165</v>
      </c>
      <c r="D315" s="16">
        <f t="shared" si="13"/>
        <v>2020</v>
      </c>
      <c r="E315" s="1" t="s">
        <v>12</v>
      </c>
      <c r="F315" s="1" t="s">
        <v>16</v>
      </c>
      <c r="G315" s="3">
        <v>4348.26</v>
      </c>
      <c r="H315" s="3">
        <v>3429.21</v>
      </c>
      <c r="I315" s="1">
        <v>71</v>
      </c>
      <c r="J315" s="4">
        <v>3.25</v>
      </c>
      <c r="K315" s="4">
        <f t="shared" si="14"/>
        <v>919.05000000000018</v>
      </c>
    </row>
    <row r="316" spans="2:11" x14ac:dyDescent="0.2">
      <c r="B316" s="2">
        <v>44142</v>
      </c>
      <c r="C316" s="2">
        <f t="shared" si="12"/>
        <v>44165</v>
      </c>
      <c r="D316" s="16">
        <f t="shared" si="13"/>
        <v>2020</v>
      </c>
      <c r="E316" s="1" t="s">
        <v>10</v>
      </c>
      <c r="F316" s="1" t="s">
        <v>16</v>
      </c>
      <c r="G316" s="3">
        <v>4536.24</v>
      </c>
      <c r="H316" s="3">
        <v>2281.23</v>
      </c>
      <c r="I316" s="1">
        <v>42</v>
      </c>
      <c r="J316" s="4">
        <v>1.48</v>
      </c>
      <c r="K316" s="4">
        <f t="shared" si="14"/>
        <v>2255.0099999999998</v>
      </c>
    </row>
    <row r="317" spans="2:11" x14ac:dyDescent="0.2">
      <c r="B317" s="2">
        <v>44143</v>
      </c>
      <c r="C317" s="2">
        <f t="shared" si="12"/>
        <v>44165</v>
      </c>
      <c r="D317" s="16">
        <f t="shared" si="13"/>
        <v>2020</v>
      </c>
      <c r="E317" s="1" t="s">
        <v>11</v>
      </c>
      <c r="F317" s="1" t="s">
        <v>16</v>
      </c>
      <c r="G317" s="3">
        <v>5333.2</v>
      </c>
      <c r="H317" s="3">
        <v>3022.54</v>
      </c>
      <c r="I317" s="1">
        <v>94</v>
      </c>
      <c r="J317" s="4">
        <v>4.67</v>
      </c>
      <c r="K317" s="4">
        <f t="shared" si="14"/>
        <v>2310.66</v>
      </c>
    </row>
    <row r="318" spans="2:11" x14ac:dyDescent="0.2">
      <c r="B318" s="2">
        <v>44144</v>
      </c>
      <c r="C318" s="2">
        <f t="shared" si="12"/>
        <v>44165</v>
      </c>
      <c r="D318" s="16">
        <f t="shared" si="13"/>
        <v>2020</v>
      </c>
      <c r="E318" s="1" t="s">
        <v>12</v>
      </c>
      <c r="F318" s="1" t="s">
        <v>15</v>
      </c>
      <c r="G318" s="3">
        <v>4281.88</v>
      </c>
      <c r="H318" s="3">
        <v>2992.7</v>
      </c>
      <c r="I318" s="1">
        <v>44</v>
      </c>
      <c r="J318" s="4">
        <v>3.88</v>
      </c>
      <c r="K318" s="4">
        <f t="shared" si="14"/>
        <v>1289.1800000000003</v>
      </c>
    </row>
    <row r="319" spans="2:11" x14ac:dyDescent="0.2">
      <c r="B319" s="2">
        <v>44145</v>
      </c>
      <c r="C319" s="2">
        <f t="shared" si="12"/>
        <v>44165</v>
      </c>
      <c r="D319" s="16">
        <f t="shared" si="13"/>
        <v>2020</v>
      </c>
      <c r="E319" s="1" t="s">
        <v>11</v>
      </c>
      <c r="F319" s="1" t="s">
        <v>15</v>
      </c>
      <c r="G319" s="3">
        <v>6883.63</v>
      </c>
      <c r="H319" s="3">
        <v>3868.72</v>
      </c>
      <c r="I319" s="1">
        <v>61</v>
      </c>
      <c r="J319" s="4">
        <v>2.61</v>
      </c>
      <c r="K319" s="4">
        <f t="shared" si="14"/>
        <v>3014.9100000000003</v>
      </c>
    </row>
    <row r="320" spans="2:11" x14ac:dyDescent="0.2">
      <c r="B320" s="2">
        <v>44146</v>
      </c>
      <c r="C320" s="2">
        <f t="shared" si="12"/>
        <v>44165</v>
      </c>
      <c r="D320" s="16">
        <f t="shared" si="13"/>
        <v>2020</v>
      </c>
      <c r="E320" s="1" t="s">
        <v>11</v>
      </c>
      <c r="F320" s="1" t="s">
        <v>13</v>
      </c>
      <c r="G320" s="3">
        <v>3658.09</v>
      </c>
      <c r="H320" s="3">
        <v>3379.76</v>
      </c>
      <c r="I320" s="1">
        <v>43</v>
      </c>
      <c r="J320" s="4">
        <v>1.63</v>
      </c>
      <c r="K320" s="4">
        <f t="shared" si="14"/>
        <v>278.32999999999993</v>
      </c>
    </row>
    <row r="321" spans="2:11" x14ac:dyDescent="0.2">
      <c r="B321" s="2">
        <v>44147</v>
      </c>
      <c r="C321" s="2">
        <f t="shared" si="12"/>
        <v>44165</v>
      </c>
      <c r="D321" s="16">
        <f t="shared" si="13"/>
        <v>2020</v>
      </c>
      <c r="E321" s="1" t="s">
        <v>10</v>
      </c>
      <c r="F321" s="1" t="s">
        <v>13</v>
      </c>
      <c r="G321" s="3">
        <v>4719.6899999999996</v>
      </c>
      <c r="H321" s="3">
        <v>2979.98</v>
      </c>
      <c r="I321" s="1">
        <v>50</v>
      </c>
      <c r="J321" s="4">
        <v>4.53</v>
      </c>
      <c r="K321" s="4">
        <f t="shared" si="14"/>
        <v>1739.7099999999996</v>
      </c>
    </row>
    <row r="322" spans="2:11" x14ac:dyDescent="0.2">
      <c r="B322" s="2">
        <v>44148</v>
      </c>
      <c r="C322" s="2">
        <f t="shared" si="12"/>
        <v>44165</v>
      </c>
      <c r="D322" s="16">
        <f t="shared" si="13"/>
        <v>2020</v>
      </c>
      <c r="E322" s="1" t="s">
        <v>11</v>
      </c>
      <c r="F322" s="1" t="s">
        <v>16</v>
      </c>
      <c r="G322" s="3">
        <v>4340.3999999999996</v>
      </c>
      <c r="H322" s="3">
        <v>3654.21</v>
      </c>
      <c r="I322" s="1">
        <v>60</v>
      </c>
      <c r="J322" s="4">
        <v>4.3</v>
      </c>
      <c r="K322" s="4">
        <f t="shared" si="14"/>
        <v>686.1899999999996</v>
      </c>
    </row>
    <row r="323" spans="2:11" x14ac:dyDescent="0.2">
      <c r="B323" s="2">
        <v>44149</v>
      </c>
      <c r="C323" s="2">
        <f t="shared" si="12"/>
        <v>44165</v>
      </c>
      <c r="D323" s="16">
        <f t="shared" si="13"/>
        <v>2020</v>
      </c>
      <c r="E323" s="1" t="s">
        <v>11</v>
      </c>
      <c r="F323" s="1" t="s">
        <v>16</v>
      </c>
      <c r="G323" s="3">
        <v>7170.47</v>
      </c>
      <c r="H323" s="3">
        <v>4112.17</v>
      </c>
      <c r="I323" s="1">
        <v>56</v>
      </c>
      <c r="J323" s="4">
        <v>3.89</v>
      </c>
      <c r="K323" s="4">
        <f t="shared" si="14"/>
        <v>3058.3</v>
      </c>
    </row>
    <row r="324" spans="2:11" x14ac:dyDescent="0.2">
      <c r="B324" s="2">
        <v>44150</v>
      </c>
      <c r="C324" s="2">
        <f t="shared" si="12"/>
        <v>44165</v>
      </c>
      <c r="D324" s="16">
        <f t="shared" si="13"/>
        <v>2020</v>
      </c>
      <c r="E324" s="1" t="s">
        <v>10</v>
      </c>
      <c r="F324" s="1" t="s">
        <v>16</v>
      </c>
      <c r="G324" s="3">
        <v>5294.83</v>
      </c>
      <c r="H324" s="3">
        <v>3446.25</v>
      </c>
      <c r="I324" s="1">
        <v>91</v>
      </c>
      <c r="J324" s="4">
        <v>2.09</v>
      </c>
      <c r="K324" s="4">
        <f t="shared" si="14"/>
        <v>1848.58</v>
      </c>
    </row>
    <row r="325" spans="2:11" x14ac:dyDescent="0.2">
      <c r="B325" s="2">
        <v>44151</v>
      </c>
      <c r="C325" s="2">
        <f t="shared" si="12"/>
        <v>44165</v>
      </c>
      <c r="D325" s="16">
        <f t="shared" si="13"/>
        <v>2020</v>
      </c>
      <c r="E325" s="1" t="s">
        <v>11</v>
      </c>
      <c r="F325" s="1" t="s">
        <v>13</v>
      </c>
      <c r="G325" s="3">
        <v>6547.77</v>
      </c>
      <c r="H325" s="3">
        <v>3008.28</v>
      </c>
      <c r="I325" s="1">
        <v>67</v>
      </c>
      <c r="J325" s="4">
        <v>2.61</v>
      </c>
      <c r="K325" s="4">
        <f t="shared" si="14"/>
        <v>3539.4900000000002</v>
      </c>
    </row>
    <row r="326" spans="2:11" x14ac:dyDescent="0.2">
      <c r="B326" s="2">
        <v>44152</v>
      </c>
      <c r="C326" s="2">
        <f t="shared" ref="C326:C389" si="15">EOMONTH(B326,0)</f>
        <v>44165</v>
      </c>
      <c r="D326" s="16">
        <f t="shared" ref="D326:D389" si="16">YEAR(B326)</f>
        <v>2020</v>
      </c>
      <c r="E326" s="1" t="s">
        <v>11</v>
      </c>
      <c r="F326" s="1" t="s">
        <v>14</v>
      </c>
      <c r="G326" s="3">
        <v>2771.66</v>
      </c>
      <c r="H326" s="3">
        <v>1950.53</v>
      </c>
      <c r="I326" s="1">
        <v>84</v>
      </c>
      <c r="J326" s="4">
        <v>1.41</v>
      </c>
      <c r="K326" s="4">
        <f t="shared" ref="K326:K389" si="17">G326-H326</f>
        <v>821.12999999999988</v>
      </c>
    </row>
    <row r="327" spans="2:11" x14ac:dyDescent="0.2">
      <c r="B327" s="2">
        <v>44153</v>
      </c>
      <c r="C327" s="2">
        <f t="shared" si="15"/>
        <v>44165</v>
      </c>
      <c r="D327" s="16">
        <f t="shared" si="16"/>
        <v>2020</v>
      </c>
      <c r="E327" s="1" t="s">
        <v>11</v>
      </c>
      <c r="F327" s="1" t="s">
        <v>14</v>
      </c>
      <c r="G327" s="3">
        <v>5400.58</v>
      </c>
      <c r="H327" s="3">
        <v>2147.91</v>
      </c>
      <c r="I327" s="1">
        <v>66</v>
      </c>
      <c r="J327" s="4">
        <v>1.76</v>
      </c>
      <c r="K327" s="4">
        <f t="shared" si="17"/>
        <v>3252.67</v>
      </c>
    </row>
    <row r="328" spans="2:11" x14ac:dyDescent="0.2">
      <c r="B328" s="2">
        <v>44154</v>
      </c>
      <c r="C328" s="2">
        <f t="shared" si="15"/>
        <v>44165</v>
      </c>
      <c r="D328" s="16">
        <f t="shared" si="16"/>
        <v>2020</v>
      </c>
      <c r="E328" s="1" t="s">
        <v>12</v>
      </c>
      <c r="F328" s="1" t="s">
        <v>13</v>
      </c>
      <c r="G328" s="3">
        <v>6334.45</v>
      </c>
      <c r="H328" s="3">
        <v>2755.82</v>
      </c>
      <c r="I328" s="1">
        <v>32</v>
      </c>
      <c r="J328" s="4">
        <v>4.13</v>
      </c>
      <c r="K328" s="4">
        <f t="shared" si="17"/>
        <v>3578.6299999999997</v>
      </c>
    </row>
    <row r="329" spans="2:11" x14ac:dyDescent="0.2">
      <c r="B329" s="2">
        <v>44155</v>
      </c>
      <c r="C329" s="2">
        <f t="shared" si="15"/>
        <v>44165</v>
      </c>
      <c r="D329" s="16">
        <f t="shared" si="16"/>
        <v>2020</v>
      </c>
      <c r="E329" s="1" t="s">
        <v>12</v>
      </c>
      <c r="F329" s="1" t="s">
        <v>13</v>
      </c>
      <c r="G329" s="3">
        <v>5123.43</v>
      </c>
      <c r="H329" s="3">
        <v>2512.39</v>
      </c>
      <c r="I329" s="1">
        <v>57</v>
      </c>
      <c r="J329" s="4">
        <v>3.86</v>
      </c>
      <c r="K329" s="4">
        <f t="shared" si="17"/>
        <v>2611.0400000000004</v>
      </c>
    </row>
    <row r="330" spans="2:11" x14ac:dyDescent="0.2">
      <c r="B330" s="2">
        <v>44156</v>
      </c>
      <c r="C330" s="2">
        <f t="shared" si="15"/>
        <v>44165</v>
      </c>
      <c r="D330" s="16">
        <f t="shared" si="16"/>
        <v>2020</v>
      </c>
      <c r="E330" s="1" t="s">
        <v>12</v>
      </c>
      <c r="F330" s="1" t="s">
        <v>13</v>
      </c>
      <c r="G330" s="3">
        <v>6598.22</v>
      </c>
      <c r="H330" s="3">
        <v>2850.42</v>
      </c>
      <c r="I330" s="1">
        <v>31</v>
      </c>
      <c r="J330" s="4">
        <v>3.37</v>
      </c>
      <c r="K330" s="4">
        <f t="shared" si="17"/>
        <v>3747.8</v>
      </c>
    </row>
    <row r="331" spans="2:11" x14ac:dyDescent="0.2">
      <c r="B331" s="2">
        <v>44157</v>
      </c>
      <c r="C331" s="2">
        <f t="shared" si="15"/>
        <v>44165</v>
      </c>
      <c r="D331" s="16">
        <f t="shared" si="16"/>
        <v>2020</v>
      </c>
      <c r="E331" s="1" t="s">
        <v>10</v>
      </c>
      <c r="F331" s="1" t="s">
        <v>13</v>
      </c>
      <c r="G331" s="3">
        <v>4224.07</v>
      </c>
      <c r="H331" s="3">
        <v>3045.32</v>
      </c>
      <c r="I331" s="1">
        <v>26</v>
      </c>
      <c r="J331" s="4">
        <v>4.58</v>
      </c>
      <c r="K331" s="4">
        <f t="shared" si="17"/>
        <v>1178.7499999999995</v>
      </c>
    </row>
    <row r="332" spans="2:11" x14ac:dyDescent="0.2">
      <c r="B332" s="2">
        <v>44158</v>
      </c>
      <c r="C332" s="2">
        <f t="shared" si="15"/>
        <v>44165</v>
      </c>
      <c r="D332" s="16">
        <f t="shared" si="16"/>
        <v>2020</v>
      </c>
      <c r="E332" s="1" t="s">
        <v>9</v>
      </c>
      <c r="F332" s="1" t="s">
        <v>13</v>
      </c>
      <c r="G332" s="3">
        <v>7114.02</v>
      </c>
      <c r="H332" s="3">
        <v>3423.75</v>
      </c>
      <c r="I332" s="1">
        <v>78</v>
      </c>
      <c r="J332" s="4">
        <v>3.33</v>
      </c>
      <c r="K332" s="4">
        <f t="shared" si="17"/>
        <v>3690.2700000000004</v>
      </c>
    </row>
    <row r="333" spans="2:11" x14ac:dyDescent="0.2">
      <c r="B333" s="2">
        <v>44159</v>
      </c>
      <c r="C333" s="2">
        <f t="shared" si="15"/>
        <v>44165</v>
      </c>
      <c r="D333" s="16">
        <f t="shared" si="16"/>
        <v>2020</v>
      </c>
      <c r="E333" s="1" t="s">
        <v>11</v>
      </c>
      <c r="F333" s="1" t="s">
        <v>13</v>
      </c>
      <c r="G333" s="3">
        <v>8448.35</v>
      </c>
      <c r="H333" s="3">
        <v>2943.6</v>
      </c>
      <c r="I333" s="1">
        <v>20</v>
      </c>
      <c r="J333" s="4">
        <v>2.87</v>
      </c>
      <c r="K333" s="4">
        <f t="shared" si="17"/>
        <v>5504.75</v>
      </c>
    </row>
    <row r="334" spans="2:11" x14ac:dyDescent="0.2">
      <c r="B334" s="2">
        <v>44160</v>
      </c>
      <c r="C334" s="2">
        <f t="shared" si="15"/>
        <v>44165</v>
      </c>
      <c r="D334" s="16">
        <f t="shared" si="16"/>
        <v>2020</v>
      </c>
      <c r="E334" s="1" t="s">
        <v>11</v>
      </c>
      <c r="F334" s="1" t="s">
        <v>16</v>
      </c>
      <c r="G334" s="3">
        <v>4455.74</v>
      </c>
      <c r="H334" s="3">
        <v>3389.2</v>
      </c>
      <c r="I334" s="1">
        <v>24</v>
      </c>
      <c r="J334" s="4">
        <v>2.36</v>
      </c>
      <c r="K334" s="4">
        <f t="shared" si="17"/>
        <v>1066.54</v>
      </c>
    </row>
    <row r="335" spans="2:11" x14ac:dyDescent="0.2">
      <c r="B335" s="2">
        <v>44161</v>
      </c>
      <c r="C335" s="2">
        <f t="shared" si="15"/>
        <v>44165</v>
      </c>
      <c r="D335" s="16">
        <f t="shared" si="16"/>
        <v>2020</v>
      </c>
      <c r="E335" s="1" t="s">
        <v>10</v>
      </c>
      <c r="F335" s="1" t="s">
        <v>16</v>
      </c>
      <c r="G335" s="3">
        <v>4331.75</v>
      </c>
      <c r="H335" s="3">
        <v>3051.58</v>
      </c>
      <c r="I335" s="1">
        <v>44</v>
      </c>
      <c r="J335" s="4">
        <v>4.76</v>
      </c>
      <c r="K335" s="4">
        <f t="shared" si="17"/>
        <v>1280.17</v>
      </c>
    </row>
    <row r="336" spans="2:11" x14ac:dyDescent="0.2">
      <c r="B336" s="2">
        <v>44162</v>
      </c>
      <c r="C336" s="2">
        <f t="shared" si="15"/>
        <v>44165</v>
      </c>
      <c r="D336" s="16">
        <f t="shared" si="16"/>
        <v>2020</v>
      </c>
      <c r="E336" s="1" t="s">
        <v>11</v>
      </c>
      <c r="F336" s="1" t="s">
        <v>16</v>
      </c>
      <c r="G336" s="3">
        <v>7180.08</v>
      </c>
      <c r="H336" s="3">
        <v>1419.63</v>
      </c>
      <c r="I336" s="1">
        <v>42</v>
      </c>
      <c r="J336" s="4">
        <v>1.33</v>
      </c>
      <c r="K336" s="4">
        <f t="shared" si="17"/>
        <v>5760.45</v>
      </c>
    </row>
    <row r="337" spans="2:11" x14ac:dyDescent="0.2">
      <c r="B337" s="2">
        <v>44163</v>
      </c>
      <c r="C337" s="2">
        <f t="shared" si="15"/>
        <v>44165</v>
      </c>
      <c r="D337" s="16">
        <f t="shared" si="16"/>
        <v>2020</v>
      </c>
      <c r="E337" s="1" t="s">
        <v>12</v>
      </c>
      <c r="F337" s="1" t="s">
        <v>16</v>
      </c>
      <c r="G337" s="3">
        <v>7369.36</v>
      </c>
      <c r="H337" s="3">
        <v>2248.5300000000002</v>
      </c>
      <c r="I337" s="1">
        <v>93</v>
      </c>
      <c r="J337" s="4">
        <v>4.72</v>
      </c>
      <c r="K337" s="4">
        <f t="shared" si="17"/>
        <v>5120.83</v>
      </c>
    </row>
    <row r="338" spans="2:11" x14ac:dyDescent="0.2">
      <c r="B338" s="2">
        <v>44164</v>
      </c>
      <c r="C338" s="2">
        <f t="shared" si="15"/>
        <v>44165</v>
      </c>
      <c r="D338" s="16">
        <f t="shared" si="16"/>
        <v>2020</v>
      </c>
      <c r="E338" s="1" t="s">
        <v>9</v>
      </c>
      <c r="F338" s="1" t="s">
        <v>13</v>
      </c>
      <c r="G338" s="3">
        <v>4215.71</v>
      </c>
      <c r="H338" s="3">
        <v>2884.73</v>
      </c>
      <c r="I338" s="1">
        <v>25</v>
      </c>
      <c r="J338" s="4">
        <v>4.3099999999999996</v>
      </c>
      <c r="K338" s="4">
        <f t="shared" si="17"/>
        <v>1330.98</v>
      </c>
    </row>
    <row r="339" spans="2:11" x14ac:dyDescent="0.2">
      <c r="B339" s="2">
        <v>44165</v>
      </c>
      <c r="C339" s="2">
        <f t="shared" si="15"/>
        <v>44165</v>
      </c>
      <c r="D339" s="16">
        <f t="shared" si="16"/>
        <v>2020</v>
      </c>
      <c r="E339" s="1" t="s">
        <v>8</v>
      </c>
      <c r="F339" s="1" t="s">
        <v>14</v>
      </c>
      <c r="G339" s="3">
        <v>4369.72</v>
      </c>
      <c r="H339" s="3">
        <v>2032.24</v>
      </c>
      <c r="I339" s="1">
        <v>43</v>
      </c>
      <c r="J339" s="4">
        <v>1.52</v>
      </c>
      <c r="K339" s="4">
        <f t="shared" si="17"/>
        <v>2337.4800000000005</v>
      </c>
    </row>
    <row r="340" spans="2:11" x14ac:dyDescent="0.2">
      <c r="B340" s="2">
        <v>44166</v>
      </c>
      <c r="C340" s="2">
        <f t="shared" si="15"/>
        <v>44196</v>
      </c>
      <c r="D340" s="16">
        <f t="shared" si="16"/>
        <v>2020</v>
      </c>
      <c r="E340" s="1" t="s">
        <v>11</v>
      </c>
      <c r="F340" s="1" t="s">
        <v>15</v>
      </c>
      <c r="G340" s="3">
        <v>4577.32</v>
      </c>
      <c r="H340" s="3">
        <v>3479.94</v>
      </c>
      <c r="I340" s="1">
        <v>75</v>
      </c>
      <c r="J340" s="4">
        <v>3.26</v>
      </c>
      <c r="K340" s="4">
        <f t="shared" si="17"/>
        <v>1097.3799999999997</v>
      </c>
    </row>
    <row r="341" spans="2:11" x14ac:dyDescent="0.2">
      <c r="B341" s="2">
        <v>44167</v>
      </c>
      <c r="C341" s="2">
        <f t="shared" si="15"/>
        <v>44196</v>
      </c>
      <c r="D341" s="16">
        <f t="shared" si="16"/>
        <v>2020</v>
      </c>
      <c r="E341" s="1" t="s">
        <v>12</v>
      </c>
      <c r="F341" s="1" t="s">
        <v>13</v>
      </c>
      <c r="G341" s="3">
        <v>2983.32</v>
      </c>
      <c r="H341" s="3">
        <v>4224.6000000000004</v>
      </c>
      <c r="I341" s="1">
        <v>49</v>
      </c>
      <c r="J341" s="4">
        <v>4.47</v>
      </c>
      <c r="K341" s="4">
        <f t="shared" si="17"/>
        <v>-1241.2800000000002</v>
      </c>
    </row>
    <row r="342" spans="2:11" x14ac:dyDescent="0.2">
      <c r="B342" s="2">
        <v>44168</v>
      </c>
      <c r="C342" s="2">
        <f t="shared" si="15"/>
        <v>44196</v>
      </c>
      <c r="D342" s="16">
        <f t="shared" si="16"/>
        <v>2020</v>
      </c>
      <c r="E342" s="1" t="s">
        <v>8</v>
      </c>
      <c r="F342" s="1" t="s">
        <v>15</v>
      </c>
      <c r="G342" s="3">
        <v>3622.02</v>
      </c>
      <c r="H342" s="3">
        <v>3975.01</v>
      </c>
      <c r="I342" s="1">
        <v>37</v>
      </c>
      <c r="J342" s="4">
        <v>3.29</v>
      </c>
      <c r="K342" s="4">
        <f t="shared" si="17"/>
        <v>-352.99000000000024</v>
      </c>
    </row>
    <row r="343" spans="2:11" x14ac:dyDescent="0.2">
      <c r="B343" s="2">
        <v>44169</v>
      </c>
      <c r="C343" s="2">
        <f t="shared" si="15"/>
        <v>44196</v>
      </c>
      <c r="D343" s="16">
        <f t="shared" si="16"/>
        <v>2020</v>
      </c>
      <c r="E343" s="1" t="s">
        <v>9</v>
      </c>
      <c r="F343" s="1" t="s">
        <v>14</v>
      </c>
      <c r="G343" s="3">
        <v>3493.79</v>
      </c>
      <c r="H343" s="3">
        <v>2829.25</v>
      </c>
      <c r="I343" s="1">
        <v>56</v>
      </c>
      <c r="J343" s="4">
        <v>4.63</v>
      </c>
      <c r="K343" s="4">
        <f t="shared" si="17"/>
        <v>664.54</v>
      </c>
    </row>
    <row r="344" spans="2:11" x14ac:dyDescent="0.2">
      <c r="B344" s="2">
        <v>44170</v>
      </c>
      <c r="C344" s="2">
        <f t="shared" si="15"/>
        <v>44196</v>
      </c>
      <c r="D344" s="16">
        <f t="shared" si="16"/>
        <v>2020</v>
      </c>
      <c r="E344" s="1" t="s">
        <v>8</v>
      </c>
      <c r="F344" s="1" t="s">
        <v>16</v>
      </c>
      <c r="G344" s="3">
        <v>3848.3</v>
      </c>
      <c r="H344" s="3">
        <v>4192.58</v>
      </c>
      <c r="I344" s="1">
        <v>48</v>
      </c>
      <c r="J344" s="4">
        <v>4.7699999999999996</v>
      </c>
      <c r="K344" s="4">
        <f t="shared" si="17"/>
        <v>-344.27999999999975</v>
      </c>
    </row>
    <row r="345" spans="2:11" x14ac:dyDescent="0.2">
      <c r="B345" s="2">
        <v>44171</v>
      </c>
      <c r="C345" s="2">
        <f t="shared" si="15"/>
        <v>44196</v>
      </c>
      <c r="D345" s="16">
        <f t="shared" si="16"/>
        <v>2020</v>
      </c>
      <c r="E345" s="1" t="s">
        <v>12</v>
      </c>
      <c r="F345" s="1" t="s">
        <v>14</v>
      </c>
      <c r="G345" s="3">
        <v>4947.97</v>
      </c>
      <c r="H345" s="3">
        <v>3118.93</v>
      </c>
      <c r="I345" s="1">
        <v>79</v>
      </c>
      <c r="J345" s="4">
        <v>2.69</v>
      </c>
      <c r="K345" s="4">
        <f t="shared" si="17"/>
        <v>1829.0400000000004</v>
      </c>
    </row>
    <row r="346" spans="2:11" x14ac:dyDescent="0.2">
      <c r="B346" s="2">
        <v>44172</v>
      </c>
      <c r="C346" s="2">
        <f t="shared" si="15"/>
        <v>44196</v>
      </c>
      <c r="D346" s="16">
        <f t="shared" si="16"/>
        <v>2020</v>
      </c>
      <c r="E346" s="1" t="s">
        <v>8</v>
      </c>
      <c r="F346" s="1" t="s">
        <v>13</v>
      </c>
      <c r="G346" s="3">
        <v>5351.32</v>
      </c>
      <c r="H346" s="3">
        <v>2730.33</v>
      </c>
      <c r="I346" s="1">
        <v>82</v>
      </c>
      <c r="J346" s="4">
        <v>2.5099999999999998</v>
      </c>
      <c r="K346" s="4">
        <f t="shared" si="17"/>
        <v>2620.9899999999998</v>
      </c>
    </row>
    <row r="347" spans="2:11" x14ac:dyDescent="0.2">
      <c r="B347" s="2">
        <v>44173</v>
      </c>
      <c r="C347" s="2">
        <f t="shared" si="15"/>
        <v>44196</v>
      </c>
      <c r="D347" s="16">
        <f t="shared" si="16"/>
        <v>2020</v>
      </c>
      <c r="E347" s="1" t="s">
        <v>10</v>
      </c>
      <c r="F347" s="1" t="s">
        <v>16</v>
      </c>
      <c r="G347" s="3">
        <v>7325.75</v>
      </c>
      <c r="H347" s="3">
        <v>2509.2800000000002</v>
      </c>
      <c r="I347" s="1">
        <v>29</v>
      </c>
      <c r="J347" s="4">
        <v>4.75</v>
      </c>
      <c r="K347" s="4">
        <f t="shared" si="17"/>
        <v>4816.4699999999993</v>
      </c>
    </row>
    <row r="348" spans="2:11" x14ac:dyDescent="0.2">
      <c r="B348" s="2">
        <v>44174</v>
      </c>
      <c r="C348" s="2">
        <f t="shared" si="15"/>
        <v>44196</v>
      </c>
      <c r="D348" s="16">
        <f t="shared" si="16"/>
        <v>2020</v>
      </c>
      <c r="E348" s="1" t="s">
        <v>8</v>
      </c>
      <c r="F348" s="1" t="s">
        <v>13</v>
      </c>
      <c r="G348" s="3">
        <v>3502.47</v>
      </c>
      <c r="H348" s="3">
        <v>2758.02</v>
      </c>
      <c r="I348" s="1">
        <v>10</v>
      </c>
      <c r="J348" s="4">
        <v>3.7</v>
      </c>
      <c r="K348" s="4">
        <f t="shared" si="17"/>
        <v>744.44999999999982</v>
      </c>
    </row>
    <row r="349" spans="2:11" x14ac:dyDescent="0.2">
      <c r="B349" s="2">
        <v>44175</v>
      </c>
      <c r="C349" s="2">
        <f t="shared" si="15"/>
        <v>44196</v>
      </c>
      <c r="D349" s="16">
        <f t="shared" si="16"/>
        <v>2020</v>
      </c>
      <c r="E349" s="1" t="s">
        <v>11</v>
      </c>
      <c r="F349" s="1" t="s">
        <v>16</v>
      </c>
      <c r="G349" s="3">
        <v>6476.48</v>
      </c>
      <c r="H349" s="3">
        <v>2689.46</v>
      </c>
      <c r="I349" s="1">
        <v>81</v>
      </c>
      <c r="J349" s="4">
        <v>1.46</v>
      </c>
      <c r="K349" s="4">
        <f t="shared" si="17"/>
        <v>3787.0199999999995</v>
      </c>
    </row>
    <row r="350" spans="2:11" x14ac:dyDescent="0.2">
      <c r="B350" s="2">
        <v>44176</v>
      </c>
      <c r="C350" s="2">
        <f t="shared" si="15"/>
        <v>44196</v>
      </c>
      <c r="D350" s="16">
        <f t="shared" si="16"/>
        <v>2020</v>
      </c>
      <c r="E350" s="1" t="s">
        <v>11</v>
      </c>
      <c r="F350" s="1" t="s">
        <v>15</v>
      </c>
      <c r="G350" s="3">
        <v>4679.0200000000004</v>
      </c>
      <c r="H350" s="3">
        <v>3136.33</v>
      </c>
      <c r="I350" s="1">
        <v>96</v>
      </c>
      <c r="J350" s="4">
        <v>1.17</v>
      </c>
      <c r="K350" s="4">
        <f t="shared" si="17"/>
        <v>1542.6900000000005</v>
      </c>
    </row>
    <row r="351" spans="2:11" x14ac:dyDescent="0.2">
      <c r="B351" s="2">
        <v>44177</v>
      </c>
      <c r="C351" s="2">
        <f t="shared" si="15"/>
        <v>44196</v>
      </c>
      <c r="D351" s="16">
        <f t="shared" si="16"/>
        <v>2020</v>
      </c>
      <c r="E351" s="1" t="s">
        <v>10</v>
      </c>
      <c r="F351" s="1" t="s">
        <v>15</v>
      </c>
      <c r="G351" s="3">
        <v>4925.8</v>
      </c>
      <c r="H351" s="3">
        <v>3128.46</v>
      </c>
      <c r="I351" s="1">
        <v>72</v>
      </c>
      <c r="J351" s="4">
        <v>3.26</v>
      </c>
      <c r="K351" s="4">
        <f t="shared" si="17"/>
        <v>1797.3400000000001</v>
      </c>
    </row>
    <row r="352" spans="2:11" x14ac:dyDescent="0.2">
      <c r="B352" s="2">
        <v>44178</v>
      </c>
      <c r="C352" s="2">
        <f t="shared" si="15"/>
        <v>44196</v>
      </c>
      <c r="D352" s="16">
        <f t="shared" si="16"/>
        <v>2020</v>
      </c>
      <c r="E352" s="1" t="s">
        <v>12</v>
      </c>
      <c r="F352" s="1" t="s">
        <v>15</v>
      </c>
      <c r="G352" s="3">
        <v>6012.23</v>
      </c>
      <c r="H352" s="3">
        <v>3002.44</v>
      </c>
      <c r="I352" s="1">
        <v>76</v>
      </c>
      <c r="J352" s="4">
        <v>4.72</v>
      </c>
      <c r="K352" s="4">
        <f t="shared" si="17"/>
        <v>3009.7899999999995</v>
      </c>
    </row>
    <row r="353" spans="2:11" x14ac:dyDescent="0.2">
      <c r="B353" s="2">
        <v>44179</v>
      </c>
      <c r="C353" s="2">
        <f t="shared" si="15"/>
        <v>44196</v>
      </c>
      <c r="D353" s="16">
        <f t="shared" si="16"/>
        <v>2020</v>
      </c>
      <c r="E353" s="1" t="s">
        <v>11</v>
      </c>
      <c r="F353" s="1" t="s">
        <v>14</v>
      </c>
      <c r="G353" s="3">
        <v>3315.92</v>
      </c>
      <c r="H353" s="3">
        <v>3349.55</v>
      </c>
      <c r="I353" s="1">
        <v>13</v>
      </c>
      <c r="J353" s="4">
        <v>4.38</v>
      </c>
      <c r="K353" s="4">
        <f t="shared" si="17"/>
        <v>-33.630000000000109</v>
      </c>
    </row>
    <row r="354" spans="2:11" x14ac:dyDescent="0.2">
      <c r="B354" s="2">
        <v>44180</v>
      </c>
      <c r="C354" s="2">
        <f t="shared" si="15"/>
        <v>44196</v>
      </c>
      <c r="D354" s="16">
        <f t="shared" si="16"/>
        <v>2020</v>
      </c>
      <c r="E354" s="1" t="s">
        <v>9</v>
      </c>
      <c r="F354" s="1" t="s">
        <v>13</v>
      </c>
      <c r="G354" s="3">
        <v>5573.61</v>
      </c>
      <c r="H354" s="3">
        <v>3952.52</v>
      </c>
      <c r="I354" s="1">
        <v>67</v>
      </c>
      <c r="J354" s="4">
        <v>3.7</v>
      </c>
      <c r="K354" s="4">
        <f t="shared" si="17"/>
        <v>1621.0899999999997</v>
      </c>
    </row>
    <row r="355" spans="2:11" x14ac:dyDescent="0.2">
      <c r="B355" s="2">
        <v>44181</v>
      </c>
      <c r="C355" s="2">
        <f t="shared" si="15"/>
        <v>44196</v>
      </c>
      <c r="D355" s="16">
        <f t="shared" si="16"/>
        <v>2020</v>
      </c>
      <c r="E355" s="1" t="s">
        <v>11</v>
      </c>
      <c r="F355" s="1" t="s">
        <v>14</v>
      </c>
      <c r="G355" s="3">
        <v>5249.68</v>
      </c>
      <c r="H355" s="3">
        <v>3759.64</v>
      </c>
      <c r="I355" s="1">
        <v>34</v>
      </c>
      <c r="J355" s="4">
        <v>1.56</v>
      </c>
      <c r="K355" s="4">
        <f t="shared" si="17"/>
        <v>1490.0400000000004</v>
      </c>
    </row>
    <row r="356" spans="2:11" x14ac:dyDescent="0.2">
      <c r="B356" s="2">
        <v>44182</v>
      </c>
      <c r="C356" s="2">
        <f t="shared" si="15"/>
        <v>44196</v>
      </c>
      <c r="D356" s="16">
        <f t="shared" si="16"/>
        <v>2020</v>
      </c>
      <c r="E356" s="1" t="s">
        <v>11</v>
      </c>
      <c r="F356" s="1" t="s">
        <v>15</v>
      </c>
      <c r="G356" s="3">
        <v>5738.68</v>
      </c>
      <c r="H356" s="3">
        <v>1812.08</v>
      </c>
      <c r="I356" s="1">
        <v>56</v>
      </c>
      <c r="J356" s="4">
        <v>2.02</v>
      </c>
      <c r="K356" s="4">
        <f t="shared" si="17"/>
        <v>3926.6000000000004</v>
      </c>
    </row>
    <row r="357" spans="2:11" x14ac:dyDescent="0.2">
      <c r="B357" s="2">
        <v>44183</v>
      </c>
      <c r="C357" s="2">
        <f t="shared" si="15"/>
        <v>44196</v>
      </c>
      <c r="D357" s="16">
        <f t="shared" si="16"/>
        <v>2020</v>
      </c>
      <c r="E357" s="1" t="s">
        <v>12</v>
      </c>
      <c r="F357" s="1" t="s">
        <v>13</v>
      </c>
      <c r="G357" s="3">
        <v>5433.75</v>
      </c>
      <c r="H357" s="3">
        <v>956.86</v>
      </c>
      <c r="I357" s="1">
        <v>47</v>
      </c>
      <c r="J357" s="4">
        <v>4.5</v>
      </c>
      <c r="K357" s="4">
        <f t="shared" si="17"/>
        <v>4476.8900000000003</v>
      </c>
    </row>
    <row r="358" spans="2:11" x14ac:dyDescent="0.2">
      <c r="B358" s="2">
        <v>44184</v>
      </c>
      <c r="C358" s="2">
        <f t="shared" si="15"/>
        <v>44196</v>
      </c>
      <c r="D358" s="16">
        <f t="shared" si="16"/>
        <v>2020</v>
      </c>
      <c r="E358" s="1" t="s">
        <v>8</v>
      </c>
      <c r="F358" s="1" t="s">
        <v>15</v>
      </c>
      <c r="G358" s="3">
        <v>8682.9500000000007</v>
      </c>
      <c r="H358" s="3">
        <v>3747.46</v>
      </c>
      <c r="I358" s="1">
        <v>24</v>
      </c>
      <c r="J358" s="4">
        <v>1.73</v>
      </c>
      <c r="K358" s="4">
        <f t="shared" si="17"/>
        <v>4935.4900000000007</v>
      </c>
    </row>
    <row r="359" spans="2:11" x14ac:dyDescent="0.2">
      <c r="B359" s="2">
        <v>44185</v>
      </c>
      <c r="C359" s="2">
        <f t="shared" si="15"/>
        <v>44196</v>
      </c>
      <c r="D359" s="16">
        <f t="shared" si="16"/>
        <v>2020</v>
      </c>
      <c r="E359" s="1" t="s">
        <v>11</v>
      </c>
      <c r="F359" s="1" t="s">
        <v>14</v>
      </c>
      <c r="G359" s="3">
        <v>4043.39</v>
      </c>
      <c r="H359" s="3">
        <v>1906.5</v>
      </c>
      <c r="I359" s="1">
        <v>72</v>
      </c>
      <c r="J359" s="4">
        <v>2.11</v>
      </c>
      <c r="K359" s="4">
        <f t="shared" si="17"/>
        <v>2136.89</v>
      </c>
    </row>
    <row r="360" spans="2:11" x14ac:dyDescent="0.2">
      <c r="B360" s="2">
        <v>44186</v>
      </c>
      <c r="C360" s="2">
        <f t="shared" si="15"/>
        <v>44196</v>
      </c>
      <c r="D360" s="16">
        <f t="shared" si="16"/>
        <v>2020</v>
      </c>
      <c r="E360" s="1" t="s">
        <v>10</v>
      </c>
      <c r="F360" s="1" t="s">
        <v>14</v>
      </c>
      <c r="G360" s="3">
        <v>4203.5</v>
      </c>
      <c r="H360" s="3">
        <v>2820.19</v>
      </c>
      <c r="I360" s="1">
        <v>30</v>
      </c>
      <c r="J360" s="4">
        <v>1.52</v>
      </c>
      <c r="K360" s="4">
        <f t="shared" si="17"/>
        <v>1383.31</v>
      </c>
    </row>
    <row r="361" spans="2:11" x14ac:dyDescent="0.2">
      <c r="B361" s="2">
        <v>44187</v>
      </c>
      <c r="C361" s="2">
        <f t="shared" si="15"/>
        <v>44196</v>
      </c>
      <c r="D361" s="16">
        <f t="shared" si="16"/>
        <v>2020</v>
      </c>
      <c r="E361" s="1" t="s">
        <v>8</v>
      </c>
      <c r="F361" s="1" t="s">
        <v>14</v>
      </c>
      <c r="G361" s="3">
        <v>4065.29</v>
      </c>
      <c r="H361" s="3">
        <v>2063.91</v>
      </c>
      <c r="I361" s="1">
        <v>66</v>
      </c>
      <c r="J361" s="4">
        <v>3.7</v>
      </c>
      <c r="K361" s="4">
        <f t="shared" si="17"/>
        <v>2001.38</v>
      </c>
    </row>
    <row r="362" spans="2:11" x14ac:dyDescent="0.2">
      <c r="B362" s="2">
        <v>44188</v>
      </c>
      <c r="C362" s="2">
        <f t="shared" si="15"/>
        <v>44196</v>
      </c>
      <c r="D362" s="16">
        <f t="shared" si="16"/>
        <v>2020</v>
      </c>
      <c r="E362" s="1" t="s">
        <v>9</v>
      </c>
      <c r="F362" s="1" t="s">
        <v>15</v>
      </c>
      <c r="G362" s="3">
        <v>4166.78</v>
      </c>
      <c r="H362" s="3">
        <v>1558.42</v>
      </c>
      <c r="I362" s="1">
        <v>62</v>
      </c>
      <c r="J362" s="4">
        <v>4.78</v>
      </c>
      <c r="K362" s="4">
        <f t="shared" si="17"/>
        <v>2608.3599999999997</v>
      </c>
    </row>
    <row r="363" spans="2:11" x14ac:dyDescent="0.2">
      <c r="B363" s="2">
        <v>44189</v>
      </c>
      <c r="C363" s="2">
        <f t="shared" si="15"/>
        <v>44196</v>
      </c>
      <c r="D363" s="16">
        <f t="shared" si="16"/>
        <v>2020</v>
      </c>
      <c r="E363" s="1" t="s">
        <v>12</v>
      </c>
      <c r="F363" s="1" t="s">
        <v>13</v>
      </c>
      <c r="G363" s="3">
        <v>4043.92</v>
      </c>
      <c r="H363" s="3">
        <v>3433.17</v>
      </c>
      <c r="I363" s="1">
        <v>55</v>
      </c>
      <c r="J363" s="4">
        <v>2.08</v>
      </c>
      <c r="K363" s="4">
        <f t="shared" si="17"/>
        <v>610.75</v>
      </c>
    </row>
    <row r="364" spans="2:11" x14ac:dyDescent="0.2">
      <c r="B364" s="2">
        <v>44190</v>
      </c>
      <c r="C364" s="2">
        <f t="shared" si="15"/>
        <v>44196</v>
      </c>
      <c r="D364" s="16">
        <f t="shared" si="16"/>
        <v>2020</v>
      </c>
      <c r="E364" s="1" t="s">
        <v>9</v>
      </c>
      <c r="F364" s="1" t="s">
        <v>13</v>
      </c>
      <c r="G364" s="3">
        <v>6783.52</v>
      </c>
      <c r="H364" s="3">
        <v>3607.32</v>
      </c>
      <c r="I364" s="1">
        <v>23</v>
      </c>
      <c r="J364" s="4">
        <v>2.9</v>
      </c>
      <c r="K364" s="4">
        <f t="shared" si="17"/>
        <v>3176.2000000000003</v>
      </c>
    </row>
    <row r="365" spans="2:11" x14ac:dyDescent="0.2">
      <c r="B365" s="2">
        <v>44191</v>
      </c>
      <c r="C365" s="2">
        <f t="shared" si="15"/>
        <v>44196</v>
      </c>
      <c r="D365" s="16">
        <f t="shared" si="16"/>
        <v>2020</v>
      </c>
      <c r="E365" s="1" t="s">
        <v>8</v>
      </c>
      <c r="F365" s="1" t="s">
        <v>15</v>
      </c>
      <c r="G365" s="3">
        <v>7130.76</v>
      </c>
      <c r="H365" s="3">
        <v>2538.79</v>
      </c>
      <c r="I365" s="1">
        <v>85</v>
      </c>
      <c r="J365" s="4">
        <v>3.54</v>
      </c>
      <c r="K365" s="4">
        <f t="shared" si="17"/>
        <v>4591.97</v>
      </c>
    </row>
    <row r="366" spans="2:11" x14ac:dyDescent="0.2">
      <c r="B366" s="2">
        <v>44192</v>
      </c>
      <c r="C366" s="2">
        <f t="shared" si="15"/>
        <v>44196</v>
      </c>
      <c r="D366" s="16">
        <f t="shared" si="16"/>
        <v>2020</v>
      </c>
      <c r="E366" s="1" t="s">
        <v>8</v>
      </c>
      <c r="F366" s="1" t="s">
        <v>13</v>
      </c>
      <c r="G366" s="3">
        <v>4143.88</v>
      </c>
      <c r="H366" s="3">
        <v>927.17</v>
      </c>
      <c r="I366" s="1">
        <v>26</v>
      </c>
      <c r="J366" s="4">
        <v>5</v>
      </c>
      <c r="K366" s="4">
        <f t="shared" si="17"/>
        <v>3216.71</v>
      </c>
    </row>
    <row r="367" spans="2:11" x14ac:dyDescent="0.2">
      <c r="B367" s="2">
        <v>44193</v>
      </c>
      <c r="C367" s="2">
        <f t="shared" si="15"/>
        <v>44196</v>
      </c>
      <c r="D367" s="16">
        <f t="shared" si="16"/>
        <v>2020</v>
      </c>
      <c r="E367" s="1" t="s">
        <v>8</v>
      </c>
      <c r="F367" s="1" t="s">
        <v>15</v>
      </c>
      <c r="G367" s="3">
        <v>3751.47</v>
      </c>
      <c r="H367" s="3">
        <v>2563</v>
      </c>
      <c r="I367" s="1">
        <v>48</v>
      </c>
      <c r="J367" s="4">
        <v>1.42</v>
      </c>
      <c r="K367" s="4">
        <f t="shared" si="17"/>
        <v>1188.4699999999998</v>
      </c>
    </row>
    <row r="368" spans="2:11" x14ac:dyDescent="0.2">
      <c r="B368" s="2">
        <v>44194</v>
      </c>
      <c r="C368" s="2">
        <f t="shared" si="15"/>
        <v>44196</v>
      </c>
      <c r="D368" s="16">
        <f t="shared" si="16"/>
        <v>2020</v>
      </c>
      <c r="E368" s="1" t="s">
        <v>9</v>
      </c>
      <c r="F368" s="1" t="s">
        <v>13</v>
      </c>
      <c r="G368" s="3">
        <v>5707.12</v>
      </c>
      <c r="H368" s="3">
        <v>3313.44</v>
      </c>
      <c r="I368" s="1">
        <v>18</v>
      </c>
      <c r="J368" s="4">
        <v>2.99</v>
      </c>
      <c r="K368" s="4">
        <f t="shared" si="17"/>
        <v>2393.6799999999998</v>
      </c>
    </row>
    <row r="369" spans="2:11" x14ac:dyDescent="0.2">
      <c r="B369" s="2">
        <v>44195</v>
      </c>
      <c r="C369" s="2">
        <f t="shared" si="15"/>
        <v>44196</v>
      </c>
      <c r="D369" s="16">
        <f t="shared" si="16"/>
        <v>2020</v>
      </c>
      <c r="E369" s="1" t="s">
        <v>8</v>
      </c>
      <c r="F369" s="1" t="s">
        <v>16</v>
      </c>
      <c r="G369" s="3">
        <v>4171.67</v>
      </c>
      <c r="H369" s="3">
        <v>1816.87</v>
      </c>
      <c r="I369" s="1">
        <v>86</v>
      </c>
      <c r="J369" s="4">
        <v>2.54</v>
      </c>
      <c r="K369" s="4">
        <f t="shared" si="17"/>
        <v>2354.8000000000002</v>
      </c>
    </row>
    <row r="370" spans="2:11" x14ac:dyDescent="0.2">
      <c r="B370" s="2">
        <v>44196</v>
      </c>
      <c r="C370" s="2">
        <f t="shared" si="15"/>
        <v>44196</v>
      </c>
      <c r="D370" s="16">
        <f t="shared" si="16"/>
        <v>2020</v>
      </c>
      <c r="E370" s="1" t="s">
        <v>9</v>
      </c>
      <c r="F370" s="1" t="s">
        <v>16</v>
      </c>
      <c r="G370" s="3">
        <v>5949.4</v>
      </c>
      <c r="H370" s="3">
        <v>3146.69</v>
      </c>
      <c r="I370" s="1">
        <v>88</v>
      </c>
      <c r="J370" s="4">
        <v>4.46</v>
      </c>
      <c r="K370" s="4">
        <f t="shared" si="17"/>
        <v>2802.7099999999996</v>
      </c>
    </row>
    <row r="371" spans="2:11" x14ac:dyDescent="0.2">
      <c r="B371" s="2">
        <v>44197</v>
      </c>
      <c r="C371" s="2">
        <f t="shared" si="15"/>
        <v>44227</v>
      </c>
      <c r="D371" s="16">
        <f t="shared" si="16"/>
        <v>2021</v>
      </c>
      <c r="E371" s="1" t="s">
        <v>8</v>
      </c>
      <c r="F371" s="1" t="s">
        <v>14</v>
      </c>
      <c r="G371" s="3">
        <v>5304.38</v>
      </c>
      <c r="H371" s="3">
        <v>2987.75</v>
      </c>
      <c r="I371" s="1">
        <v>91</v>
      </c>
      <c r="J371" s="4">
        <v>2.9</v>
      </c>
      <c r="K371" s="4">
        <f t="shared" si="17"/>
        <v>2316.63</v>
      </c>
    </row>
    <row r="372" spans="2:11" x14ac:dyDescent="0.2">
      <c r="B372" s="2">
        <v>44198</v>
      </c>
      <c r="C372" s="2">
        <f t="shared" si="15"/>
        <v>44227</v>
      </c>
      <c r="D372" s="16">
        <f t="shared" si="16"/>
        <v>2021</v>
      </c>
      <c r="E372" s="1" t="s">
        <v>10</v>
      </c>
      <c r="F372" s="1" t="s">
        <v>16</v>
      </c>
      <c r="G372" s="3">
        <v>2726.38</v>
      </c>
      <c r="H372" s="3">
        <v>3463.43</v>
      </c>
      <c r="I372" s="1">
        <v>15</v>
      </c>
      <c r="J372" s="4">
        <v>1.44</v>
      </c>
      <c r="K372" s="4">
        <f t="shared" si="17"/>
        <v>-737.04999999999973</v>
      </c>
    </row>
    <row r="373" spans="2:11" x14ac:dyDescent="0.2">
      <c r="B373" s="2">
        <v>44199</v>
      </c>
      <c r="C373" s="2">
        <f t="shared" si="15"/>
        <v>44227</v>
      </c>
      <c r="D373" s="16">
        <f t="shared" si="16"/>
        <v>2021</v>
      </c>
      <c r="E373" s="1" t="s">
        <v>8</v>
      </c>
      <c r="F373" s="1" t="s">
        <v>16</v>
      </c>
      <c r="G373" s="3">
        <v>7321.26</v>
      </c>
      <c r="H373" s="3">
        <v>3095.66</v>
      </c>
      <c r="I373" s="1">
        <v>32</v>
      </c>
      <c r="J373" s="4">
        <v>3.54</v>
      </c>
      <c r="K373" s="4">
        <f t="shared" si="17"/>
        <v>4225.6000000000004</v>
      </c>
    </row>
    <row r="374" spans="2:11" x14ac:dyDescent="0.2">
      <c r="B374" s="2">
        <v>44200</v>
      </c>
      <c r="C374" s="2">
        <f t="shared" si="15"/>
        <v>44227</v>
      </c>
      <c r="D374" s="16">
        <f t="shared" si="16"/>
        <v>2021</v>
      </c>
      <c r="E374" s="1" t="s">
        <v>9</v>
      </c>
      <c r="F374" s="1" t="s">
        <v>16</v>
      </c>
      <c r="G374" s="3">
        <v>7693.82</v>
      </c>
      <c r="H374" s="3">
        <v>2221.54</v>
      </c>
      <c r="I374" s="1">
        <v>68</v>
      </c>
      <c r="J374" s="4">
        <v>4.08</v>
      </c>
      <c r="K374" s="4">
        <f t="shared" si="17"/>
        <v>5472.28</v>
      </c>
    </row>
    <row r="375" spans="2:11" x14ac:dyDescent="0.2">
      <c r="B375" s="2">
        <v>44201</v>
      </c>
      <c r="C375" s="2">
        <f t="shared" si="15"/>
        <v>44227</v>
      </c>
      <c r="D375" s="16">
        <f t="shared" si="16"/>
        <v>2021</v>
      </c>
      <c r="E375" s="1" t="s">
        <v>11</v>
      </c>
      <c r="F375" s="1" t="s">
        <v>15</v>
      </c>
      <c r="G375" s="3">
        <v>4080.82</v>
      </c>
      <c r="H375" s="3">
        <v>3957.26</v>
      </c>
      <c r="I375" s="1">
        <v>55</v>
      </c>
      <c r="J375" s="4">
        <v>1.01</v>
      </c>
      <c r="K375" s="4">
        <f t="shared" si="17"/>
        <v>123.55999999999995</v>
      </c>
    </row>
    <row r="376" spans="2:11" x14ac:dyDescent="0.2">
      <c r="B376" s="2">
        <v>44202</v>
      </c>
      <c r="C376" s="2">
        <f t="shared" si="15"/>
        <v>44227</v>
      </c>
      <c r="D376" s="16">
        <f t="shared" si="16"/>
        <v>2021</v>
      </c>
      <c r="E376" s="1" t="s">
        <v>8</v>
      </c>
      <c r="F376" s="1" t="s">
        <v>16</v>
      </c>
      <c r="G376" s="3">
        <v>4418.45</v>
      </c>
      <c r="H376" s="3">
        <v>2873.18</v>
      </c>
      <c r="I376" s="1">
        <v>47</v>
      </c>
      <c r="J376" s="4">
        <v>4.4400000000000004</v>
      </c>
      <c r="K376" s="4">
        <f t="shared" si="17"/>
        <v>1545.27</v>
      </c>
    </row>
    <row r="377" spans="2:11" x14ac:dyDescent="0.2">
      <c r="B377" s="2">
        <v>44203</v>
      </c>
      <c r="C377" s="2">
        <f t="shared" si="15"/>
        <v>44227</v>
      </c>
      <c r="D377" s="16">
        <f t="shared" si="16"/>
        <v>2021</v>
      </c>
      <c r="E377" s="1" t="s">
        <v>11</v>
      </c>
      <c r="F377" s="1" t="s">
        <v>16</v>
      </c>
      <c r="G377" s="3">
        <v>5428.8</v>
      </c>
      <c r="H377" s="3">
        <v>2978.16</v>
      </c>
      <c r="I377" s="1">
        <v>23</v>
      </c>
      <c r="J377" s="4">
        <v>1.74</v>
      </c>
      <c r="K377" s="4">
        <f t="shared" si="17"/>
        <v>2450.6400000000003</v>
      </c>
    </row>
    <row r="378" spans="2:11" x14ac:dyDescent="0.2">
      <c r="B378" s="2">
        <v>44204</v>
      </c>
      <c r="C378" s="2">
        <f t="shared" si="15"/>
        <v>44227</v>
      </c>
      <c r="D378" s="16">
        <f t="shared" si="16"/>
        <v>2021</v>
      </c>
      <c r="E378" s="1" t="s">
        <v>10</v>
      </c>
      <c r="F378" s="1" t="s">
        <v>14</v>
      </c>
      <c r="G378" s="3">
        <v>5501.69</v>
      </c>
      <c r="H378" s="3">
        <v>2253.39</v>
      </c>
      <c r="I378" s="1">
        <v>81</v>
      </c>
      <c r="J378" s="4">
        <v>3.21</v>
      </c>
      <c r="K378" s="4">
        <f t="shared" si="17"/>
        <v>3248.2999999999997</v>
      </c>
    </row>
    <row r="379" spans="2:11" x14ac:dyDescent="0.2">
      <c r="B379" s="2">
        <v>44205</v>
      </c>
      <c r="C379" s="2">
        <f t="shared" si="15"/>
        <v>44227</v>
      </c>
      <c r="D379" s="16">
        <f t="shared" si="16"/>
        <v>2021</v>
      </c>
      <c r="E379" s="1" t="s">
        <v>12</v>
      </c>
      <c r="F379" s="1" t="s">
        <v>16</v>
      </c>
      <c r="G379" s="3">
        <v>5987.82</v>
      </c>
      <c r="H379" s="3">
        <v>2645.37</v>
      </c>
      <c r="I379" s="1">
        <v>71</v>
      </c>
      <c r="J379" s="4">
        <v>2.66</v>
      </c>
      <c r="K379" s="4">
        <f t="shared" si="17"/>
        <v>3342.45</v>
      </c>
    </row>
    <row r="380" spans="2:11" x14ac:dyDescent="0.2">
      <c r="B380" s="2">
        <v>44206</v>
      </c>
      <c r="C380" s="2">
        <f t="shared" si="15"/>
        <v>44227</v>
      </c>
      <c r="D380" s="16">
        <f t="shared" si="16"/>
        <v>2021</v>
      </c>
      <c r="E380" s="1" t="s">
        <v>10</v>
      </c>
      <c r="F380" s="1" t="s">
        <v>16</v>
      </c>
      <c r="G380" s="3">
        <v>8015.31</v>
      </c>
      <c r="H380" s="3">
        <v>2292.16</v>
      </c>
      <c r="I380" s="1">
        <v>44</v>
      </c>
      <c r="J380" s="4">
        <v>3.88</v>
      </c>
      <c r="K380" s="4">
        <f t="shared" si="17"/>
        <v>5723.1500000000005</v>
      </c>
    </row>
    <row r="381" spans="2:11" x14ac:dyDescent="0.2">
      <c r="B381" s="2">
        <v>44207</v>
      </c>
      <c r="C381" s="2">
        <f t="shared" si="15"/>
        <v>44227</v>
      </c>
      <c r="D381" s="16">
        <f t="shared" si="16"/>
        <v>2021</v>
      </c>
      <c r="E381" s="1" t="s">
        <v>8</v>
      </c>
      <c r="F381" s="1" t="s">
        <v>13</v>
      </c>
      <c r="G381" s="3">
        <v>4734.58</v>
      </c>
      <c r="H381" s="3">
        <v>2861.64</v>
      </c>
      <c r="I381" s="1">
        <v>28</v>
      </c>
      <c r="J381" s="4">
        <v>2.48</v>
      </c>
      <c r="K381" s="4">
        <f t="shared" si="17"/>
        <v>1872.94</v>
      </c>
    </row>
    <row r="382" spans="2:11" x14ac:dyDescent="0.2">
      <c r="B382" s="2">
        <v>44208</v>
      </c>
      <c r="C382" s="2">
        <f t="shared" si="15"/>
        <v>44227</v>
      </c>
      <c r="D382" s="16">
        <f t="shared" si="16"/>
        <v>2021</v>
      </c>
      <c r="E382" s="1" t="s">
        <v>11</v>
      </c>
      <c r="F382" s="1" t="s">
        <v>14</v>
      </c>
      <c r="G382" s="3">
        <v>3802.55</v>
      </c>
      <c r="H382" s="3">
        <v>4369.37</v>
      </c>
      <c r="I382" s="1">
        <v>39</v>
      </c>
      <c r="J382" s="4">
        <v>4.4800000000000004</v>
      </c>
      <c r="K382" s="4">
        <f t="shared" si="17"/>
        <v>-566.81999999999971</v>
      </c>
    </row>
    <row r="383" spans="2:11" x14ac:dyDescent="0.2">
      <c r="B383" s="2">
        <v>44209</v>
      </c>
      <c r="C383" s="2">
        <f t="shared" si="15"/>
        <v>44227</v>
      </c>
      <c r="D383" s="16">
        <f t="shared" si="16"/>
        <v>2021</v>
      </c>
      <c r="E383" s="1" t="s">
        <v>11</v>
      </c>
      <c r="F383" s="1" t="s">
        <v>14</v>
      </c>
      <c r="G383" s="3">
        <v>2931.02</v>
      </c>
      <c r="H383" s="3">
        <v>1902.48</v>
      </c>
      <c r="I383" s="1">
        <v>87</v>
      </c>
      <c r="J383" s="4">
        <v>3.92</v>
      </c>
      <c r="K383" s="4">
        <f t="shared" si="17"/>
        <v>1028.54</v>
      </c>
    </row>
    <row r="384" spans="2:11" x14ac:dyDescent="0.2">
      <c r="B384" s="2">
        <v>44210</v>
      </c>
      <c r="C384" s="2">
        <f t="shared" si="15"/>
        <v>44227</v>
      </c>
      <c r="D384" s="16">
        <f t="shared" si="16"/>
        <v>2021</v>
      </c>
      <c r="E384" s="1" t="s">
        <v>9</v>
      </c>
      <c r="F384" s="1" t="s">
        <v>14</v>
      </c>
      <c r="G384" s="3">
        <v>3903.6</v>
      </c>
      <c r="H384" s="3">
        <v>1709.15</v>
      </c>
      <c r="I384" s="1">
        <v>93</v>
      </c>
      <c r="J384" s="4">
        <v>3.59</v>
      </c>
      <c r="K384" s="4">
        <f t="shared" si="17"/>
        <v>2194.4499999999998</v>
      </c>
    </row>
    <row r="385" spans="2:11" x14ac:dyDescent="0.2">
      <c r="B385" s="2">
        <v>44211</v>
      </c>
      <c r="C385" s="2">
        <f t="shared" si="15"/>
        <v>44227</v>
      </c>
      <c r="D385" s="16">
        <f t="shared" si="16"/>
        <v>2021</v>
      </c>
      <c r="E385" s="1" t="s">
        <v>11</v>
      </c>
      <c r="F385" s="1" t="s">
        <v>14</v>
      </c>
      <c r="G385" s="3">
        <v>4950.3100000000004</v>
      </c>
      <c r="H385" s="3">
        <v>4176.9399999999996</v>
      </c>
      <c r="I385" s="1">
        <v>34</v>
      </c>
      <c r="J385" s="4">
        <v>4.18</v>
      </c>
      <c r="K385" s="4">
        <f t="shared" si="17"/>
        <v>773.3700000000008</v>
      </c>
    </row>
    <row r="386" spans="2:11" x14ac:dyDescent="0.2">
      <c r="B386" s="2">
        <v>44212</v>
      </c>
      <c r="C386" s="2">
        <f t="shared" si="15"/>
        <v>44227</v>
      </c>
      <c r="D386" s="16">
        <f t="shared" si="16"/>
        <v>2021</v>
      </c>
      <c r="E386" s="1" t="s">
        <v>9</v>
      </c>
      <c r="F386" s="1" t="s">
        <v>14</v>
      </c>
      <c r="G386" s="3">
        <v>7691.84</v>
      </c>
      <c r="H386" s="3">
        <v>2832.54</v>
      </c>
      <c r="I386" s="1">
        <v>49</v>
      </c>
      <c r="J386" s="4">
        <v>4.0199999999999996</v>
      </c>
      <c r="K386" s="4">
        <f t="shared" si="17"/>
        <v>4859.3</v>
      </c>
    </row>
    <row r="387" spans="2:11" x14ac:dyDescent="0.2">
      <c r="B387" s="2">
        <v>44213</v>
      </c>
      <c r="C387" s="2">
        <f t="shared" si="15"/>
        <v>44227</v>
      </c>
      <c r="D387" s="16">
        <f t="shared" si="16"/>
        <v>2021</v>
      </c>
      <c r="E387" s="1" t="s">
        <v>12</v>
      </c>
      <c r="F387" s="1" t="s">
        <v>14</v>
      </c>
      <c r="G387" s="3">
        <v>4223.58</v>
      </c>
      <c r="H387" s="3">
        <v>2464.7399999999998</v>
      </c>
      <c r="I387" s="1">
        <v>97</v>
      </c>
      <c r="J387" s="4">
        <v>1.1399999999999999</v>
      </c>
      <c r="K387" s="4">
        <f t="shared" si="17"/>
        <v>1758.8400000000001</v>
      </c>
    </row>
    <row r="388" spans="2:11" x14ac:dyDescent="0.2">
      <c r="B388" s="2">
        <v>44214</v>
      </c>
      <c r="C388" s="2">
        <f t="shared" si="15"/>
        <v>44227</v>
      </c>
      <c r="D388" s="16">
        <f t="shared" si="16"/>
        <v>2021</v>
      </c>
      <c r="E388" s="1" t="s">
        <v>8</v>
      </c>
      <c r="F388" s="1" t="s">
        <v>15</v>
      </c>
      <c r="G388" s="3">
        <v>5335.68</v>
      </c>
      <c r="H388" s="3">
        <v>3831.92</v>
      </c>
      <c r="I388" s="1">
        <v>23</v>
      </c>
      <c r="J388" s="4">
        <v>2.58</v>
      </c>
      <c r="K388" s="4">
        <f t="shared" si="17"/>
        <v>1503.7600000000002</v>
      </c>
    </row>
    <row r="389" spans="2:11" x14ac:dyDescent="0.2">
      <c r="B389" s="2">
        <v>44215</v>
      </c>
      <c r="C389" s="2">
        <f t="shared" si="15"/>
        <v>44227</v>
      </c>
      <c r="D389" s="16">
        <f t="shared" si="16"/>
        <v>2021</v>
      </c>
      <c r="E389" s="1" t="s">
        <v>9</v>
      </c>
      <c r="F389" s="1" t="s">
        <v>16</v>
      </c>
      <c r="G389" s="3">
        <v>4975.37</v>
      </c>
      <c r="H389" s="3">
        <v>2515.5100000000002</v>
      </c>
      <c r="I389" s="1">
        <v>35</v>
      </c>
      <c r="J389" s="4">
        <v>4.72</v>
      </c>
      <c r="K389" s="4">
        <f t="shared" si="17"/>
        <v>2459.8599999999997</v>
      </c>
    </row>
    <row r="390" spans="2:11" x14ac:dyDescent="0.2">
      <c r="B390" s="2">
        <v>44216</v>
      </c>
      <c r="C390" s="2">
        <f t="shared" ref="C390:C453" si="18">EOMONTH(B390,0)</f>
        <v>44227</v>
      </c>
      <c r="D390" s="16">
        <f t="shared" ref="D390:D453" si="19">YEAR(B390)</f>
        <v>2021</v>
      </c>
      <c r="E390" s="1" t="s">
        <v>12</v>
      </c>
      <c r="F390" s="1" t="s">
        <v>14</v>
      </c>
      <c r="G390" s="3">
        <v>6782.59</v>
      </c>
      <c r="H390" s="3">
        <v>4460.8100000000004</v>
      </c>
      <c r="I390" s="1">
        <v>96</v>
      </c>
      <c r="J390" s="4">
        <v>1.5</v>
      </c>
      <c r="K390" s="4">
        <f t="shared" ref="K390:K453" si="20">G390-H390</f>
        <v>2321.7799999999997</v>
      </c>
    </row>
    <row r="391" spans="2:11" x14ac:dyDescent="0.2">
      <c r="B391" s="2">
        <v>44217</v>
      </c>
      <c r="C391" s="2">
        <f t="shared" si="18"/>
        <v>44227</v>
      </c>
      <c r="D391" s="16">
        <f t="shared" si="19"/>
        <v>2021</v>
      </c>
      <c r="E391" s="1" t="s">
        <v>11</v>
      </c>
      <c r="F391" s="1" t="s">
        <v>16</v>
      </c>
      <c r="G391" s="3">
        <v>8790.4</v>
      </c>
      <c r="H391" s="3">
        <v>3542.34</v>
      </c>
      <c r="I391" s="1">
        <v>31</v>
      </c>
      <c r="J391" s="4">
        <v>3.95</v>
      </c>
      <c r="K391" s="4">
        <f t="shared" si="20"/>
        <v>5248.0599999999995</v>
      </c>
    </row>
    <row r="392" spans="2:11" x14ac:dyDescent="0.2">
      <c r="B392" s="2">
        <v>44218</v>
      </c>
      <c r="C392" s="2">
        <f t="shared" si="18"/>
        <v>44227</v>
      </c>
      <c r="D392" s="16">
        <f t="shared" si="19"/>
        <v>2021</v>
      </c>
      <c r="E392" s="1" t="s">
        <v>11</v>
      </c>
      <c r="F392" s="1" t="s">
        <v>16</v>
      </c>
      <c r="G392" s="3">
        <v>4203.7</v>
      </c>
      <c r="H392" s="3">
        <v>2609.67</v>
      </c>
      <c r="I392" s="1">
        <v>57</v>
      </c>
      <c r="J392" s="4">
        <v>4.9000000000000004</v>
      </c>
      <c r="K392" s="4">
        <f t="shared" si="20"/>
        <v>1594.0299999999997</v>
      </c>
    </row>
    <row r="393" spans="2:11" x14ac:dyDescent="0.2">
      <c r="B393" s="2">
        <v>44219</v>
      </c>
      <c r="C393" s="2">
        <f t="shared" si="18"/>
        <v>44227</v>
      </c>
      <c r="D393" s="16">
        <f t="shared" si="19"/>
        <v>2021</v>
      </c>
      <c r="E393" s="1" t="s">
        <v>12</v>
      </c>
      <c r="F393" s="1" t="s">
        <v>15</v>
      </c>
      <c r="G393" s="3">
        <v>4265.84</v>
      </c>
      <c r="H393" s="3">
        <v>4725.8500000000004</v>
      </c>
      <c r="I393" s="1">
        <v>92</v>
      </c>
      <c r="J393" s="4">
        <v>1.21</v>
      </c>
      <c r="K393" s="4">
        <f t="shared" si="20"/>
        <v>-460.01000000000022</v>
      </c>
    </row>
    <row r="394" spans="2:11" x14ac:dyDescent="0.2">
      <c r="B394" s="2">
        <v>44220</v>
      </c>
      <c r="C394" s="2">
        <f t="shared" si="18"/>
        <v>44227</v>
      </c>
      <c r="D394" s="16">
        <f t="shared" si="19"/>
        <v>2021</v>
      </c>
      <c r="E394" s="1" t="s">
        <v>11</v>
      </c>
      <c r="F394" s="1" t="s">
        <v>14</v>
      </c>
      <c r="G394" s="3">
        <v>6566.24</v>
      </c>
      <c r="H394" s="3">
        <v>2515.4299999999998</v>
      </c>
      <c r="I394" s="1">
        <v>60</v>
      </c>
      <c r="J394" s="4">
        <v>3.73</v>
      </c>
      <c r="K394" s="4">
        <f t="shared" si="20"/>
        <v>4050.81</v>
      </c>
    </row>
    <row r="395" spans="2:11" x14ac:dyDescent="0.2">
      <c r="B395" s="2">
        <v>44221</v>
      </c>
      <c r="C395" s="2">
        <f t="shared" si="18"/>
        <v>44227</v>
      </c>
      <c r="D395" s="16">
        <f t="shared" si="19"/>
        <v>2021</v>
      </c>
      <c r="E395" s="1" t="s">
        <v>12</v>
      </c>
      <c r="F395" s="1" t="s">
        <v>13</v>
      </c>
      <c r="G395" s="3">
        <v>6022.84</v>
      </c>
      <c r="H395" s="3">
        <v>3593.68</v>
      </c>
      <c r="I395" s="1">
        <v>12</v>
      </c>
      <c r="J395" s="4">
        <v>2.87</v>
      </c>
      <c r="K395" s="4">
        <f t="shared" si="20"/>
        <v>2429.1600000000003</v>
      </c>
    </row>
    <row r="396" spans="2:11" x14ac:dyDescent="0.2">
      <c r="B396" s="2">
        <v>44222</v>
      </c>
      <c r="C396" s="2">
        <f t="shared" si="18"/>
        <v>44227</v>
      </c>
      <c r="D396" s="16">
        <f t="shared" si="19"/>
        <v>2021</v>
      </c>
      <c r="E396" s="1" t="s">
        <v>9</v>
      </c>
      <c r="F396" s="1" t="s">
        <v>15</v>
      </c>
      <c r="G396" s="3">
        <v>7770.06</v>
      </c>
      <c r="H396" s="3">
        <v>3239.43</v>
      </c>
      <c r="I396" s="1">
        <v>51</v>
      </c>
      <c r="J396" s="4">
        <v>3.32</v>
      </c>
      <c r="K396" s="4">
        <f t="shared" si="20"/>
        <v>4530.630000000001</v>
      </c>
    </row>
    <row r="397" spans="2:11" x14ac:dyDescent="0.2">
      <c r="B397" s="2">
        <v>44223</v>
      </c>
      <c r="C397" s="2">
        <f t="shared" si="18"/>
        <v>44227</v>
      </c>
      <c r="D397" s="16">
        <f t="shared" si="19"/>
        <v>2021</v>
      </c>
      <c r="E397" s="1" t="s">
        <v>9</v>
      </c>
      <c r="F397" s="1" t="s">
        <v>13</v>
      </c>
      <c r="G397" s="3">
        <v>5875.89</v>
      </c>
      <c r="H397" s="3">
        <v>4041.39</v>
      </c>
      <c r="I397" s="1">
        <v>28</v>
      </c>
      <c r="J397" s="4">
        <v>1.34</v>
      </c>
      <c r="K397" s="4">
        <f t="shared" si="20"/>
        <v>1834.5000000000005</v>
      </c>
    </row>
    <row r="398" spans="2:11" x14ac:dyDescent="0.2">
      <c r="B398" s="2">
        <v>44224</v>
      </c>
      <c r="C398" s="2">
        <f t="shared" si="18"/>
        <v>44227</v>
      </c>
      <c r="D398" s="16">
        <f t="shared" si="19"/>
        <v>2021</v>
      </c>
      <c r="E398" s="1" t="s">
        <v>12</v>
      </c>
      <c r="F398" s="1" t="s">
        <v>16</v>
      </c>
      <c r="G398" s="3">
        <v>4461.0600000000004</v>
      </c>
      <c r="H398" s="3">
        <v>4249.21</v>
      </c>
      <c r="I398" s="1">
        <v>82</v>
      </c>
      <c r="J398" s="4">
        <v>1.17</v>
      </c>
      <c r="K398" s="4">
        <f t="shared" si="20"/>
        <v>211.85000000000036</v>
      </c>
    </row>
    <row r="399" spans="2:11" x14ac:dyDescent="0.2">
      <c r="B399" s="2">
        <v>44225</v>
      </c>
      <c r="C399" s="2">
        <f t="shared" si="18"/>
        <v>44227</v>
      </c>
      <c r="D399" s="16">
        <f t="shared" si="19"/>
        <v>2021</v>
      </c>
      <c r="E399" s="1" t="s">
        <v>9</v>
      </c>
      <c r="F399" s="1" t="s">
        <v>16</v>
      </c>
      <c r="G399" s="3">
        <v>5885.98</v>
      </c>
      <c r="H399" s="3">
        <v>3025.6</v>
      </c>
      <c r="I399" s="1">
        <v>37</v>
      </c>
      <c r="J399" s="4">
        <v>3.67</v>
      </c>
      <c r="K399" s="4">
        <f t="shared" si="20"/>
        <v>2860.3799999999997</v>
      </c>
    </row>
    <row r="400" spans="2:11" x14ac:dyDescent="0.2">
      <c r="B400" s="2">
        <v>44226</v>
      </c>
      <c r="C400" s="2">
        <f t="shared" si="18"/>
        <v>44227</v>
      </c>
      <c r="D400" s="16">
        <f t="shared" si="19"/>
        <v>2021</v>
      </c>
      <c r="E400" s="1" t="s">
        <v>9</v>
      </c>
      <c r="F400" s="1" t="s">
        <v>15</v>
      </c>
      <c r="G400" s="3">
        <v>6663.06</v>
      </c>
      <c r="H400" s="3">
        <v>2397.27</v>
      </c>
      <c r="I400" s="1">
        <v>93</v>
      </c>
      <c r="J400" s="4">
        <v>4.29</v>
      </c>
      <c r="K400" s="4">
        <f t="shared" si="20"/>
        <v>4265.7900000000009</v>
      </c>
    </row>
    <row r="401" spans="2:11" x14ac:dyDescent="0.2">
      <c r="B401" s="2">
        <v>44227</v>
      </c>
      <c r="C401" s="2">
        <f t="shared" si="18"/>
        <v>44227</v>
      </c>
      <c r="D401" s="16">
        <f t="shared" si="19"/>
        <v>2021</v>
      </c>
      <c r="E401" s="1" t="s">
        <v>9</v>
      </c>
      <c r="F401" s="1" t="s">
        <v>15</v>
      </c>
      <c r="G401" s="3">
        <v>6230.72</v>
      </c>
      <c r="H401" s="3">
        <v>3367.98</v>
      </c>
      <c r="I401" s="1">
        <v>54</v>
      </c>
      <c r="J401" s="4">
        <v>4.13</v>
      </c>
      <c r="K401" s="4">
        <f t="shared" si="20"/>
        <v>2862.7400000000002</v>
      </c>
    </row>
    <row r="402" spans="2:11" x14ac:dyDescent="0.2">
      <c r="B402" s="2">
        <v>44228</v>
      </c>
      <c r="C402" s="2">
        <f t="shared" si="18"/>
        <v>44255</v>
      </c>
      <c r="D402" s="16">
        <f t="shared" si="19"/>
        <v>2021</v>
      </c>
      <c r="E402" s="1" t="s">
        <v>10</v>
      </c>
      <c r="F402" s="1" t="s">
        <v>13</v>
      </c>
      <c r="G402" s="3">
        <v>5760.91</v>
      </c>
      <c r="H402" s="3">
        <v>2457.83</v>
      </c>
      <c r="I402" s="1">
        <v>80</v>
      </c>
      <c r="J402" s="4">
        <v>3.18</v>
      </c>
      <c r="K402" s="4">
        <f t="shared" si="20"/>
        <v>3303.08</v>
      </c>
    </row>
    <row r="403" spans="2:11" x14ac:dyDescent="0.2">
      <c r="B403" s="2">
        <v>44229</v>
      </c>
      <c r="C403" s="2">
        <f t="shared" si="18"/>
        <v>44255</v>
      </c>
      <c r="D403" s="16">
        <f t="shared" si="19"/>
        <v>2021</v>
      </c>
      <c r="E403" s="1" t="s">
        <v>8</v>
      </c>
      <c r="F403" s="1" t="s">
        <v>14</v>
      </c>
      <c r="G403" s="3">
        <v>6600.01</v>
      </c>
      <c r="H403" s="3">
        <v>4610.71</v>
      </c>
      <c r="I403" s="1">
        <v>87</v>
      </c>
      <c r="J403" s="4">
        <v>1.4</v>
      </c>
      <c r="K403" s="4">
        <f t="shared" si="20"/>
        <v>1989.3000000000002</v>
      </c>
    </row>
    <row r="404" spans="2:11" x14ac:dyDescent="0.2">
      <c r="B404" s="2">
        <v>44230</v>
      </c>
      <c r="C404" s="2">
        <f t="shared" si="18"/>
        <v>44255</v>
      </c>
      <c r="D404" s="16">
        <f t="shared" si="19"/>
        <v>2021</v>
      </c>
      <c r="E404" s="1" t="s">
        <v>11</v>
      </c>
      <c r="F404" s="1" t="s">
        <v>13</v>
      </c>
      <c r="G404" s="3">
        <v>6753.94</v>
      </c>
      <c r="H404" s="3">
        <v>3109.23</v>
      </c>
      <c r="I404" s="1">
        <v>72</v>
      </c>
      <c r="J404" s="4">
        <v>3.75</v>
      </c>
      <c r="K404" s="4">
        <f t="shared" si="20"/>
        <v>3644.7099999999996</v>
      </c>
    </row>
    <row r="405" spans="2:11" x14ac:dyDescent="0.2">
      <c r="B405" s="2">
        <v>44231</v>
      </c>
      <c r="C405" s="2">
        <f t="shared" si="18"/>
        <v>44255</v>
      </c>
      <c r="D405" s="16">
        <f t="shared" si="19"/>
        <v>2021</v>
      </c>
      <c r="E405" s="1" t="s">
        <v>10</v>
      </c>
      <c r="F405" s="1" t="s">
        <v>15</v>
      </c>
      <c r="G405" s="3">
        <v>7073.24</v>
      </c>
      <c r="H405" s="3">
        <v>2707.74</v>
      </c>
      <c r="I405" s="1">
        <v>82</v>
      </c>
      <c r="J405" s="4">
        <v>1.97</v>
      </c>
      <c r="K405" s="4">
        <f t="shared" si="20"/>
        <v>4365.5</v>
      </c>
    </row>
    <row r="406" spans="2:11" x14ac:dyDescent="0.2">
      <c r="B406" s="2">
        <v>44232</v>
      </c>
      <c r="C406" s="2">
        <f t="shared" si="18"/>
        <v>44255</v>
      </c>
      <c r="D406" s="16">
        <f t="shared" si="19"/>
        <v>2021</v>
      </c>
      <c r="E406" s="1" t="s">
        <v>9</v>
      </c>
      <c r="F406" s="1" t="s">
        <v>13</v>
      </c>
      <c r="G406" s="3">
        <v>5973.06</v>
      </c>
      <c r="H406" s="3">
        <v>3147.74</v>
      </c>
      <c r="I406" s="1">
        <v>28</v>
      </c>
      <c r="J406" s="4">
        <v>4.6399999999999997</v>
      </c>
      <c r="K406" s="4">
        <f t="shared" si="20"/>
        <v>2825.3200000000006</v>
      </c>
    </row>
    <row r="407" spans="2:11" x14ac:dyDescent="0.2">
      <c r="B407" s="2">
        <v>44233</v>
      </c>
      <c r="C407" s="2">
        <f t="shared" si="18"/>
        <v>44255</v>
      </c>
      <c r="D407" s="16">
        <f t="shared" si="19"/>
        <v>2021</v>
      </c>
      <c r="E407" s="1" t="s">
        <v>12</v>
      </c>
      <c r="F407" s="1" t="s">
        <v>15</v>
      </c>
      <c r="G407" s="3">
        <v>4749.32</v>
      </c>
      <c r="H407" s="3">
        <v>1922.3</v>
      </c>
      <c r="I407" s="1">
        <v>56</v>
      </c>
      <c r="J407" s="4">
        <v>4.3499999999999996</v>
      </c>
      <c r="K407" s="4">
        <f t="shared" si="20"/>
        <v>2827.0199999999995</v>
      </c>
    </row>
    <row r="408" spans="2:11" x14ac:dyDescent="0.2">
      <c r="B408" s="2">
        <v>44234</v>
      </c>
      <c r="C408" s="2">
        <f t="shared" si="18"/>
        <v>44255</v>
      </c>
      <c r="D408" s="16">
        <f t="shared" si="19"/>
        <v>2021</v>
      </c>
      <c r="E408" s="1" t="s">
        <v>9</v>
      </c>
      <c r="F408" s="1" t="s">
        <v>13</v>
      </c>
      <c r="G408" s="3">
        <v>5220.07</v>
      </c>
      <c r="H408" s="3">
        <v>2222.71</v>
      </c>
      <c r="I408" s="1">
        <v>23</v>
      </c>
      <c r="J408" s="4">
        <v>3.84</v>
      </c>
      <c r="K408" s="4">
        <f t="shared" si="20"/>
        <v>2997.3599999999997</v>
      </c>
    </row>
    <row r="409" spans="2:11" x14ac:dyDescent="0.2">
      <c r="B409" s="2">
        <v>44235</v>
      </c>
      <c r="C409" s="2">
        <f t="shared" si="18"/>
        <v>44255</v>
      </c>
      <c r="D409" s="16">
        <f t="shared" si="19"/>
        <v>2021</v>
      </c>
      <c r="E409" s="1" t="s">
        <v>8</v>
      </c>
      <c r="F409" s="1" t="s">
        <v>15</v>
      </c>
      <c r="G409" s="3">
        <v>6809.76</v>
      </c>
      <c r="H409" s="3">
        <v>3960.33</v>
      </c>
      <c r="I409" s="1">
        <v>47</v>
      </c>
      <c r="J409" s="4">
        <v>4.8</v>
      </c>
      <c r="K409" s="4">
        <f t="shared" si="20"/>
        <v>2849.4300000000003</v>
      </c>
    </row>
    <row r="410" spans="2:11" x14ac:dyDescent="0.2">
      <c r="B410" s="2">
        <v>44236</v>
      </c>
      <c r="C410" s="2">
        <f t="shared" si="18"/>
        <v>44255</v>
      </c>
      <c r="D410" s="16">
        <f t="shared" si="19"/>
        <v>2021</v>
      </c>
      <c r="E410" s="1" t="s">
        <v>9</v>
      </c>
      <c r="F410" s="1" t="s">
        <v>15</v>
      </c>
      <c r="G410" s="3">
        <v>3774.6</v>
      </c>
      <c r="H410" s="3">
        <v>2474.48</v>
      </c>
      <c r="I410" s="1">
        <v>62</v>
      </c>
      <c r="J410" s="4">
        <v>1.1299999999999999</v>
      </c>
      <c r="K410" s="4">
        <f t="shared" si="20"/>
        <v>1300.1199999999999</v>
      </c>
    </row>
    <row r="411" spans="2:11" x14ac:dyDescent="0.2">
      <c r="B411" s="2">
        <v>44237</v>
      </c>
      <c r="C411" s="2">
        <f t="shared" si="18"/>
        <v>44255</v>
      </c>
      <c r="D411" s="16">
        <f t="shared" si="19"/>
        <v>2021</v>
      </c>
      <c r="E411" s="1" t="s">
        <v>12</v>
      </c>
      <c r="F411" s="1" t="s">
        <v>15</v>
      </c>
      <c r="G411" s="3">
        <v>5553.01</v>
      </c>
      <c r="H411" s="3">
        <v>2162.4699999999998</v>
      </c>
      <c r="I411" s="1">
        <v>70</v>
      </c>
      <c r="J411" s="4">
        <v>3.94</v>
      </c>
      <c r="K411" s="4">
        <f t="shared" si="20"/>
        <v>3390.5400000000004</v>
      </c>
    </row>
    <row r="412" spans="2:11" x14ac:dyDescent="0.2">
      <c r="B412" s="2">
        <v>44238</v>
      </c>
      <c r="C412" s="2">
        <f t="shared" si="18"/>
        <v>44255</v>
      </c>
      <c r="D412" s="16">
        <f t="shared" si="19"/>
        <v>2021</v>
      </c>
      <c r="E412" s="1" t="s">
        <v>8</v>
      </c>
      <c r="F412" s="1" t="s">
        <v>14</v>
      </c>
      <c r="G412" s="3">
        <v>4409.99</v>
      </c>
      <c r="H412" s="3">
        <v>3429.32</v>
      </c>
      <c r="I412" s="1">
        <v>45</v>
      </c>
      <c r="J412" s="4">
        <v>2.3199999999999998</v>
      </c>
      <c r="K412" s="4">
        <f t="shared" si="20"/>
        <v>980.66999999999962</v>
      </c>
    </row>
    <row r="413" spans="2:11" x14ac:dyDescent="0.2">
      <c r="B413" s="2">
        <v>44239</v>
      </c>
      <c r="C413" s="2">
        <f t="shared" si="18"/>
        <v>44255</v>
      </c>
      <c r="D413" s="16">
        <f t="shared" si="19"/>
        <v>2021</v>
      </c>
      <c r="E413" s="1" t="s">
        <v>9</v>
      </c>
      <c r="F413" s="1" t="s">
        <v>13</v>
      </c>
      <c r="G413" s="3">
        <v>5043.12</v>
      </c>
      <c r="H413" s="3">
        <v>3948.56</v>
      </c>
      <c r="I413" s="1">
        <v>49</v>
      </c>
      <c r="J413" s="4">
        <v>4.62</v>
      </c>
      <c r="K413" s="4">
        <f t="shared" si="20"/>
        <v>1094.56</v>
      </c>
    </row>
    <row r="414" spans="2:11" x14ac:dyDescent="0.2">
      <c r="B414" s="2">
        <v>44240</v>
      </c>
      <c r="C414" s="2">
        <f t="shared" si="18"/>
        <v>44255</v>
      </c>
      <c r="D414" s="16">
        <f t="shared" si="19"/>
        <v>2021</v>
      </c>
      <c r="E414" s="1" t="s">
        <v>8</v>
      </c>
      <c r="F414" s="1" t="s">
        <v>13</v>
      </c>
      <c r="G414" s="3">
        <v>6917.68</v>
      </c>
      <c r="H414" s="3">
        <v>3575.16</v>
      </c>
      <c r="I414" s="1">
        <v>90</v>
      </c>
      <c r="J414" s="4">
        <v>2.0699999999999998</v>
      </c>
      <c r="K414" s="4">
        <f t="shared" si="20"/>
        <v>3342.5200000000004</v>
      </c>
    </row>
    <row r="415" spans="2:11" x14ac:dyDescent="0.2">
      <c r="B415" s="2">
        <v>44241</v>
      </c>
      <c r="C415" s="2">
        <f t="shared" si="18"/>
        <v>44255</v>
      </c>
      <c r="D415" s="16">
        <f t="shared" si="19"/>
        <v>2021</v>
      </c>
      <c r="E415" s="1" t="s">
        <v>11</v>
      </c>
      <c r="F415" s="1" t="s">
        <v>13</v>
      </c>
      <c r="G415" s="3">
        <v>5286.65</v>
      </c>
      <c r="H415" s="3">
        <v>3796.84</v>
      </c>
      <c r="I415" s="1">
        <v>39</v>
      </c>
      <c r="J415" s="4">
        <v>3.9</v>
      </c>
      <c r="K415" s="4">
        <f t="shared" si="20"/>
        <v>1489.8099999999995</v>
      </c>
    </row>
    <row r="416" spans="2:11" x14ac:dyDescent="0.2">
      <c r="B416" s="2">
        <v>44242</v>
      </c>
      <c r="C416" s="2">
        <f t="shared" si="18"/>
        <v>44255</v>
      </c>
      <c r="D416" s="16">
        <f t="shared" si="19"/>
        <v>2021</v>
      </c>
      <c r="E416" s="1" t="s">
        <v>11</v>
      </c>
      <c r="F416" s="1" t="s">
        <v>15</v>
      </c>
      <c r="G416" s="3">
        <v>5069.6499999999996</v>
      </c>
      <c r="H416" s="3">
        <v>2394.56</v>
      </c>
      <c r="I416" s="1">
        <v>18</v>
      </c>
      <c r="J416" s="4">
        <v>4.51</v>
      </c>
      <c r="K416" s="4">
        <f t="shared" si="20"/>
        <v>2675.0899999999997</v>
      </c>
    </row>
    <row r="417" spans="2:11" x14ac:dyDescent="0.2">
      <c r="B417" s="2">
        <v>44243</v>
      </c>
      <c r="C417" s="2">
        <f t="shared" si="18"/>
        <v>44255</v>
      </c>
      <c r="D417" s="16">
        <f t="shared" si="19"/>
        <v>2021</v>
      </c>
      <c r="E417" s="1" t="s">
        <v>9</v>
      </c>
      <c r="F417" s="1" t="s">
        <v>13</v>
      </c>
      <c r="G417" s="3">
        <v>2960.22</v>
      </c>
      <c r="H417" s="3">
        <v>1862.55</v>
      </c>
      <c r="I417" s="1">
        <v>73</v>
      </c>
      <c r="J417" s="4">
        <v>1.17</v>
      </c>
      <c r="K417" s="4">
        <f t="shared" si="20"/>
        <v>1097.6699999999998</v>
      </c>
    </row>
    <row r="418" spans="2:11" x14ac:dyDescent="0.2">
      <c r="B418" s="2">
        <v>44244</v>
      </c>
      <c r="C418" s="2">
        <f t="shared" si="18"/>
        <v>44255</v>
      </c>
      <c r="D418" s="16">
        <f t="shared" si="19"/>
        <v>2021</v>
      </c>
      <c r="E418" s="1" t="s">
        <v>8</v>
      </c>
      <c r="F418" s="1" t="s">
        <v>13</v>
      </c>
      <c r="G418" s="3">
        <v>6119.38</v>
      </c>
      <c r="H418" s="3">
        <v>4201.07</v>
      </c>
      <c r="I418" s="1">
        <v>42</v>
      </c>
      <c r="J418" s="4">
        <v>2.59</v>
      </c>
      <c r="K418" s="4">
        <f t="shared" si="20"/>
        <v>1918.3100000000004</v>
      </c>
    </row>
    <row r="419" spans="2:11" x14ac:dyDescent="0.2">
      <c r="B419" s="2">
        <v>44245</v>
      </c>
      <c r="C419" s="2">
        <f t="shared" si="18"/>
        <v>44255</v>
      </c>
      <c r="D419" s="16">
        <f t="shared" si="19"/>
        <v>2021</v>
      </c>
      <c r="E419" s="1" t="s">
        <v>12</v>
      </c>
      <c r="F419" s="1" t="s">
        <v>15</v>
      </c>
      <c r="G419" s="3">
        <v>5968.23</v>
      </c>
      <c r="H419" s="3">
        <v>2741.86</v>
      </c>
      <c r="I419" s="1">
        <v>61</v>
      </c>
      <c r="J419" s="4">
        <v>4.05</v>
      </c>
      <c r="K419" s="4">
        <f t="shared" si="20"/>
        <v>3226.3699999999994</v>
      </c>
    </row>
    <row r="420" spans="2:11" x14ac:dyDescent="0.2">
      <c r="B420" s="2">
        <v>44246</v>
      </c>
      <c r="C420" s="2">
        <f t="shared" si="18"/>
        <v>44255</v>
      </c>
      <c r="D420" s="16">
        <f t="shared" si="19"/>
        <v>2021</v>
      </c>
      <c r="E420" s="1" t="s">
        <v>9</v>
      </c>
      <c r="F420" s="1" t="s">
        <v>16</v>
      </c>
      <c r="G420" s="3">
        <v>8244.8799999999992</v>
      </c>
      <c r="H420" s="3">
        <v>2799.33</v>
      </c>
      <c r="I420" s="1">
        <v>98</v>
      </c>
      <c r="J420" s="4">
        <v>2.82</v>
      </c>
      <c r="K420" s="4">
        <f t="shared" si="20"/>
        <v>5445.5499999999993</v>
      </c>
    </row>
    <row r="421" spans="2:11" x14ac:dyDescent="0.2">
      <c r="B421" s="2">
        <v>44247</v>
      </c>
      <c r="C421" s="2">
        <f t="shared" si="18"/>
        <v>44255</v>
      </c>
      <c r="D421" s="16">
        <f t="shared" si="19"/>
        <v>2021</v>
      </c>
      <c r="E421" s="1" t="s">
        <v>11</v>
      </c>
      <c r="F421" s="1" t="s">
        <v>15</v>
      </c>
      <c r="G421" s="3">
        <v>4538.33</v>
      </c>
      <c r="H421" s="3">
        <v>4062.56</v>
      </c>
      <c r="I421" s="1">
        <v>23</v>
      </c>
      <c r="J421" s="4">
        <v>2.0699999999999998</v>
      </c>
      <c r="K421" s="4">
        <f t="shared" si="20"/>
        <v>475.77</v>
      </c>
    </row>
    <row r="422" spans="2:11" x14ac:dyDescent="0.2">
      <c r="B422" s="2">
        <v>44248</v>
      </c>
      <c r="C422" s="2">
        <f t="shared" si="18"/>
        <v>44255</v>
      </c>
      <c r="D422" s="16">
        <f t="shared" si="19"/>
        <v>2021</v>
      </c>
      <c r="E422" s="1" t="s">
        <v>11</v>
      </c>
      <c r="F422" s="1" t="s">
        <v>13</v>
      </c>
      <c r="G422" s="3">
        <v>5328.73</v>
      </c>
      <c r="H422" s="3">
        <v>3444.98</v>
      </c>
      <c r="I422" s="1">
        <v>84</v>
      </c>
      <c r="J422" s="4">
        <v>1.88</v>
      </c>
      <c r="K422" s="4">
        <f t="shared" si="20"/>
        <v>1883.7499999999995</v>
      </c>
    </row>
    <row r="423" spans="2:11" x14ac:dyDescent="0.2">
      <c r="B423" s="2">
        <v>44249</v>
      </c>
      <c r="C423" s="2">
        <f t="shared" si="18"/>
        <v>44255</v>
      </c>
      <c r="D423" s="16">
        <f t="shared" si="19"/>
        <v>2021</v>
      </c>
      <c r="E423" s="1" t="s">
        <v>9</v>
      </c>
      <c r="F423" s="1" t="s">
        <v>15</v>
      </c>
      <c r="G423" s="3">
        <v>5374.08</v>
      </c>
      <c r="H423" s="3">
        <v>3364.71</v>
      </c>
      <c r="I423" s="1">
        <v>62</v>
      </c>
      <c r="J423" s="4">
        <v>1.53</v>
      </c>
      <c r="K423" s="4">
        <f t="shared" si="20"/>
        <v>2009.37</v>
      </c>
    </row>
    <row r="424" spans="2:11" x14ac:dyDescent="0.2">
      <c r="B424" s="2">
        <v>44250</v>
      </c>
      <c r="C424" s="2">
        <f t="shared" si="18"/>
        <v>44255</v>
      </c>
      <c r="D424" s="16">
        <f t="shared" si="19"/>
        <v>2021</v>
      </c>
      <c r="E424" s="1" t="s">
        <v>8</v>
      </c>
      <c r="F424" s="1" t="s">
        <v>16</v>
      </c>
      <c r="G424" s="3">
        <v>7366.18</v>
      </c>
      <c r="H424" s="3">
        <v>4732</v>
      </c>
      <c r="I424" s="1">
        <v>68</v>
      </c>
      <c r="J424" s="4">
        <v>4.43</v>
      </c>
      <c r="K424" s="4">
        <f t="shared" si="20"/>
        <v>2634.1800000000003</v>
      </c>
    </row>
    <row r="425" spans="2:11" x14ac:dyDescent="0.2">
      <c r="B425" s="2">
        <v>44251</v>
      </c>
      <c r="C425" s="2">
        <f t="shared" si="18"/>
        <v>44255</v>
      </c>
      <c r="D425" s="16">
        <f t="shared" si="19"/>
        <v>2021</v>
      </c>
      <c r="E425" s="1" t="s">
        <v>11</v>
      </c>
      <c r="F425" s="1" t="s">
        <v>15</v>
      </c>
      <c r="G425" s="3">
        <v>4857.0600000000004</v>
      </c>
      <c r="H425" s="3">
        <v>2485.19</v>
      </c>
      <c r="I425" s="1">
        <v>87</v>
      </c>
      <c r="J425" s="4">
        <v>3.3</v>
      </c>
      <c r="K425" s="4">
        <f t="shared" si="20"/>
        <v>2371.8700000000003</v>
      </c>
    </row>
    <row r="426" spans="2:11" x14ac:dyDescent="0.2">
      <c r="B426" s="2">
        <v>44252</v>
      </c>
      <c r="C426" s="2">
        <f t="shared" si="18"/>
        <v>44255</v>
      </c>
      <c r="D426" s="16">
        <f t="shared" si="19"/>
        <v>2021</v>
      </c>
      <c r="E426" s="1" t="s">
        <v>8</v>
      </c>
      <c r="F426" s="1" t="s">
        <v>13</v>
      </c>
      <c r="G426" s="3">
        <v>5418.53</v>
      </c>
      <c r="H426" s="3">
        <v>3742.27</v>
      </c>
      <c r="I426" s="1">
        <v>50</v>
      </c>
      <c r="J426" s="4">
        <v>1.31</v>
      </c>
      <c r="K426" s="4">
        <f t="shared" si="20"/>
        <v>1676.2599999999998</v>
      </c>
    </row>
    <row r="427" spans="2:11" x14ac:dyDescent="0.2">
      <c r="B427" s="2">
        <v>44253</v>
      </c>
      <c r="C427" s="2">
        <f t="shared" si="18"/>
        <v>44255</v>
      </c>
      <c r="D427" s="16">
        <f t="shared" si="19"/>
        <v>2021</v>
      </c>
      <c r="E427" s="1" t="s">
        <v>11</v>
      </c>
      <c r="F427" s="1" t="s">
        <v>16</v>
      </c>
      <c r="G427" s="3">
        <v>5911.84</v>
      </c>
      <c r="H427" s="3">
        <v>3045.61</v>
      </c>
      <c r="I427" s="1">
        <v>77</v>
      </c>
      <c r="J427" s="4">
        <v>2.5299999999999998</v>
      </c>
      <c r="K427" s="4">
        <f t="shared" si="20"/>
        <v>2866.23</v>
      </c>
    </row>
    <row r="428" spans="2:11" x14ac:dyDescent="0.2">
      <c r="B428" s="2">
        <v>44254</v>
      </c>
      <c r="C428" s="2">
        <f t="shared" si="18"/>
        <v>44255</v>
      </c>
      <c r="D428" s="16">
        <f t="shared" si="19"/>
        <v>2021</v>
      </c>
      <c r="E428" s="1" t="s">
        <v>11</v>
      </c>
      <c r="F428" s="1" t="s">
        <v>14</v>
      </c>
      <c r="G428" s="3">
        <v>5279.91</v>
      </c>
      <c r="H428" s="3">
        <v>3214.87</v>
      </c>
      <c r="I428" s="1">
        <v>77</v>
      </c>
      <c r="J428" s="4">
        <v>2.4700000000000002</v>
      </c>
      <c r="K428" s="4">
        <f t="shared" si="20"/>
        <v>2065.04</v>
      </c>
    </row>
    <row r="429" spans="2:11" x14ac:dyDescent="0.2">
      <c r="B429" s="2">
        <v>44255</v>
      </c>
      <c r="C429" s="2">
        <f t="shared" si="18"/>
        <v>44255</v>
      </c>
      <c r="D429" s="16">
        <f t="shared" si="19"/>
        <v>2021</v>
      </c>
      <c r="E429" s="1" t="s">
        <v>10</v>
      </c>
      <c r="F429" s="1" t="s">
        <v>13</v>
      </c>
      <c r="G429" s="3">
        <v>4330.3500000000004</v>
      </c>
      <c r="H429" s="3">
        <v>4222.7700000000004</v>
      </c>
      <c r="I429" s="1">
        <v>17</v>
      </c>
      <c r="J429" s="4">
        <v>1.73</v>
      </c>
      <c r="K429" s="4">
        <f t="shared" si="20"/>
        <v>107.57999999999993</v>
      </c>
    </row>
    <row r="430" spans="2:11" x14ac:dyDescent="0.2">
      <c r="B430" s="2">
        <v>44256</v>
      </c>
      <c r="C430" s="2">
        <f t="shared" si="18"/>
        <v>44286</v>
      </c>
      <c r="D430" s="16">
        <f t="shared" si="19"/>
        <v>2021</v>
      </c>
      <c r="E430" s="1" t="s">
        <v>11</v>
      </c>
      <c r="F430" s="1" t="s">
        <v>16</v>
      </c>
      <c r="G430" s="3">
        <v>5291.13</v>
      </c>
      <c r="H430" s="3">
        <v>3406.27</v>
      </c>
      <c r="I430" s="1">
        <v>11</v>
      </c>
      <c r="J430" s="4">
        <v>2.74</v>
      </c>
      <c r="K430" s="4">
        <f t="shared" si="20"/>
        <v>1884.8600000000001</v>
      </c>
    </row>
    <row r="431" spans="2:11" x14ac:dyDescent="0.2">
      <c r="B431" s="2">
        <v>44257</v>
      </c>
      <c r="C431" s="2">
        <f t="shared" si="18"/>
        <v>44286</v>
      </c>
      <c r="D431" s="16">
        <f t="shared" si="19"/>
        <v>2021</v>
      </c>
      <c r="E431" s="1" t="s">
        <v>12</v>
      </c>
      <c r="F431" s="1" t="s">
        <v>16</v>
      </c>
      <c r="G431" s="3">
        <v>6610.45</v>
      </c>
      <c r="H431" s="3">
        <v>3430.64</v>
      </c>
      <c r="I431" s="1">
        <v>95</v>
      </c>
      <c r="J431" s="4">
        <v>2.33</v>
      </c>
      <c r="K431" s="4">
        <f t="shared" si="20"/>
        <v>3179.81</v>
      </c>
    </row>
    <row r="432" spans="2:11" x14ac:dyDescent="0.2">
      <c r="B432" s="2">
        <v>44258</v>
      </c>
      <c r="C432" s="2">
        <f t="shared" si="18"/>
        <v>44286</v>
      </c>
      <c r="D432" s="16">
        <f t="shared" si="19"/>
        <v>2021</v>
      </c>
      <c r="E432" s="1" t="s">
        <v>9</v>
      </c>
      <c r="F432" s="1" t="s">
        <v>14</v>
      </c>
      <c r="G432" s="3">
        <v>3460.23</v>
      </c>
      <c r="H432" s="3">
        <v>3858.01</v>
      </c>
      <c r="I432" s="1">
        <v>50</v>
      </c>
      <c r="J432" s="4">
        <v>2.37</v>
      </c>
      <c r="K432" s="4">
        <f t="shared" si="20"/>
        <v>-397.7800000000002</v>
      </c>
    </row>
    <row r="433" spans="2:11" x14ac:dyDescent="0.2">
      <c r="B433" s="2">
        <v>44259</v>
      </c>
      <c r="C433" s="2">
        <f t="shared" si="18"/>
        <v>44286</v>
      </c>
      <c r="D433" s="16">
        <f t="shared" si="19"/>
        <v>2021</v>
      </c>
      <c r="E433" s="1" t="s">
        <v>9</v>
      </c>
      <c r="F433" s="1" t="s">
        <v>15</v>
      </c>
      <c r="G433" s="3">
        <v>5199.45</v>
      </c>
      <c r="H433" s="3">
        <v>2708.04</v>
      </c>
      <c r="I433" s="1">
        <v>64</v>
      </c>
      <c r="J433" s="4">
        <v>3.96</v>
      </c>
      <c r="K433" s="4">
        <f t="shared" si="20"/>
        <v>2491.41</v>
      </c>
    </row>
    <row r="434" spans="2:11" x14ac:dyDescent="0.2">
      <c r="B434" s="2">
        <v>44260</v>
      </c>
      <c r="C434" s="2">
        <f t="shared" si="18"/>
        <v>44286</v>
      </c>
      <c r="D434" s="16">
        <f t="shared" si="19"/>
        <v>2021</v>
      </c>
      <c r="E434" s="1" t="s">
        <v>8</v>
      </c>
      <c r="F434" s="1" t="s">
        <v>15</v>
      </c>
      <c r="G434" s="3">
        <v>3949.82</v>
      </c>
      <c r="H434" s="3">
        <v>2328.63</v>
      </c>
      <c r="I434" s="1">
        <v>25</v>
      </c>
      <c r="J434" s="4">
        <v>1.89</v>
      </c>
      <c r="K434" s="4">
        <f t="shared" si="20"/>
        <v>1621.19</v>
      </c>
    </row>
    <row r="435" spans="2:11" x14ac:dyDescent="0.2">
      <c r="B435" s="2">
        <v>44261</v>
      </c>
      <c r="C435" s="2">
        <f t="shared" si="18"/>
        <v>44286</v>
      </c>
      <c r="D435" s="16">
        <f t="shared" si="19"/>
        <v>2021</v>
      </c>
      <c r="E435" s="1" t="s">
        <v>11</v>
      </c>
      <c r="F435" s="1" t="s">
        <v>13</v>
      </c>
      <c r="G435" s="3">
        <v>6792.57</v>
      </c>
      <c r="H435" s="3">
        <v>2164.15</v>
      </c>
      <c r="I435" s="1">
        <v>71</v>
      </c>
      <c r="J435" s="4">
        <v>3.57</v>
      </c>
      <c r="K435" s="4">
        <f t="shared" si="20"/>
        <v>4628.42</v>
      </c>
    </row>
    <row r="436" spans="2:11" x14ac:dyDescent="0.2">
      <c r="B436" s="2">
        <v>44262</v>
      </c>
      <c r="C436" s="2">
        <f t="shared" si="18"/>
        <v>44286</v>
      </c>
      <c r="D436" s="16">
        <f t="shared" si="19"/>
        <v>2021</v>
      </c>
      <c r="E436" s="1" t="s">
        <v>12</v>
      </c>
      <c r="F436" s="1" t="s">
        <v>14</v>
      </c>
      <c r="G436" s="3">
        <v>2715.22</v>
      </c>
      <c r="H436" s="3">
        <v>1426.91</v>
      </c>
      <c r="I436" s="1">
        <v>57</v>
      </c>
      <c r="J436" s="4">
        <v>3.28</v>
      </c>
      <c r="K436" s="4">
        <f t="shared" si="20"/>
        <v>1288.3099999999997</v>
      </c>
    </row>
    <row r="437" spans="2:11" x14ac:dyDescent="0.2">
      <c r="B437" s="2">
        <v>44263</v>
      </c>
      <c r="C437" s="2">
        <f t="shared" si="18"/>
        <v>44286</v>
      </c>
      <c r="D437" s="16">
        <f t="shared" si="19"/>
        <v>2021</v>
      </c>
      <c r="E437" s="1" t="s">
        <v>8</v>
      </c>
      <c r="F437" s="1" t="s">
        <v>15</v>
      </c>
      <c r="G437" s="3">
        <v>4161.62</v>
      </c>
      <c r="H437" s="3">
        <v>4644.97</v>
      </c>
      <c r="I437" s="1">
        <v>39</v>
      </c>
      <c r="J437" s="4">
        <v>3.27</v>
      </c>
      <c r="K437" s="4">
        <f t="shared" si="20"/>
        <v>-483.35000000000036</v>
      </c>
    </row>
    <row r="438" spans="2:11" x14ac:dyDescent="0.2">
      <c r="B438" s="2">
        <v>44264</v>
      </c>
      <c r="C438" s="2">
        <f t="shared" si="18"/>
        <v>44286</v>
      </c>
      <c r="D438" s="16">
        <f t="shared" si="19"/>
        <v>2021</v>
      </c>
      <c r="E438" s="1" t="s">
        <v>10</v>
      </c>
      <c r="F438" s="1" t="s">
        <v>14</v>
      </c>
      <c r="G438" s="3">
        <v>5565.82</v>
      </c>
      <c r="H438" s="3">
        <v>2117.4299999999998</v>
      </c>
      <c r="I438" s="1">
        <v>21</v>
      </c>
      <c r="J438" s="4">
        <v>3.65</v>
      </c>
      <c r="K438" s="4">
        <f t="shared" si="20"/>
        <v>3448.39</v>
      </c>
    </row>
    <row r="439" spans="2:11" x14ac:dyDescent="0.2">
      <c r="B439" s="2">
        <v>44265</v>
      </c>
      <c r="C439" s="2">
        <f t="shared" si="18"/>
        <v>44286</v>
      </c>
      <c r="D439" s="16">
        <f t="shared" si="19"/>
        <v>2021</v>
      </c>
      <c r="E439" s="1" t="s">
        <v>8</v>
      </c>
      <c r="F439" s="1" t="s">
        <v>15</v>
      </c>
      <c r="G439" s="3">
        <v>7348.29</v>
      </c>
      <c r="H439" s="3">
        <v>2823</v>
      </c>
      <c r="I439" s="1">
        <v>44</v>
      </c>
      <c r="J439" s="4">
        <v>3.19</v>
      </c>
      <c r="K439" s="4">
        <f t="shared" si="20"/>
        <v>4525.29</v>
      </c>
    </row>
    <row r="440" spans="2:11" x14ac:dyDescent="0.2">
      <c r="B440" s="2">
        <v>44266</v>
      </c>
      <c r="C440" s="2">
        <f t="shared" si="18"/>
        <v>44286</v>
      </c>
      <c r="D440" s="16">
        <f t="shared" si="19"/>
        <v>2021</v>
      </c>
      <c r="E440" s="1" t="s">
        <v>8</v>
      </c>
      <c r="F440" s="1" t="s">
        <v>16</v>
      </c>
      <c r="G440" s="3">
        <v>4901.37</v>
      </c>
      <c r="H440" s="3">
        <v>2778.55</v>
      </c>
      <c r="I440" s="1">
        <v>20</v>
      </c>
      <c r="J440" s="4">
        <v>4.5199999999999996</v>
      </c>
      <c r="K440" s="4">
        <f t="shared" si="20"/>
        <v>2122.8199999999997</v>
      </c>
    </row>
    <row r="441" spans="2:11" x14ac:dyDescent="0.2">
      <c r="B441" s="2">
        <v>44267</v>
      </c>
      <c r="C441" s="2">
        <f t="shared" si="18"/>
        <v>44286</v>
      </c>
      <c r="D441" s="16">
        <f t="shared" si="19"/>
        <v>2021</v>
      </c>
      <c r="E441" s="1" t="s">
        <v>11</v>
      </c>
      <c r="F441" s="1" t="s">
        <v>15</v>
      </c>
      <c r="G441" s="3">
        <v>4167.2</v>
      </c>
      <c r="H441" s="3">
        <v>3245.93</v>
      </c>
      <c r="I441" s="1">
        <v>73</v>
      </c>
      <c r="J441" s="4">
        <v>3.7</v>
      </c>
      <c r="K441" s="4">
        <f t="shared" si="20"/>
        <v>921.27</v>
      </c>
    </row>
    <row r="442" spans="2:11" x14ac:dyDescent="0.2">
      <c r="B442" s="2">
        <v>44268</v>
      </c>
      <c r="C442" s="2">
        <f t="shared" si="18"/>
        <v>44286</v>
      </c>
      <c r="D442" s="16">
        <f t="shared" si="19"/>
        <v>2021</v>
      </c>
      <c r="E442" s="1" t="s">
        <v>10</v>
      </c>
      <c r="F442" s="1" t="s">
        <v>14</v>
      </c>
      <c r="G442" s="3">
        <v>7821.74</v>
      </c>
      <c r="H442" s="3">
        <v>3652.59</v>
      </c>
      <c r="I442" s="1">
        <v>59</v>
      </c>
      <c r="J442" s="4">
        <v>3.19</v>
      </c>
      <c r="K442" s="4">
        <f t="shared" si="20"/>
        <v>4169.1499999999996</v>
      </c>
    </row>
    <row r="443" spans="2:11" x14ac:dyDescent="0.2">
      <c r="B443" s="2">
        <v>44269</v>
      </c>
      <c r="C443" s="2">
        <f t="shared" si="18"/>
        <v>44286</v>
      </c>
      <c r="D443" s="16">
        <f t="shared" si="19"/>
        <v>2021</v>
      </c>
      <c r="E443" s="1" t="s">
        <v>8</v>
      </c>
      <c r="F443" s="1" t="s">
        <v>16</v>
      </c>
      <c r="G443" s="3">
        <v>2827.98</v>
      </c>
      <c r="H443" s="3">
        <v>3688.38</v>
      </c>
      <c r="I443" s="1">
        <v>94</v>
      </c>
      <c r="J443" s="4">
        <v>4.32</v>
      </c>
      <c r="K443" s="4">
        <f t="shared" si="20"/>
        <v>-860.40000000000009</v>
      </c>
    </row>
    <row r="444" spans="2:11" x14ac:dyDescent="0.2">
      <c r="B444" s="2">
        <v>44270</v>
      </c>
      <c r="C444" s="2">
        <f t="shared" si="18"/>
        <v>44286</v>
      </c>
      <c r="D444" s="16">
        <f t="shared" si="19"/>
        <v>2021</v>
      </c>
      <c r="E444" s="1" t="s">
        <v>12</v>
      </c>
      <c r="F444" s="1" t="s">
        <v>16</v>
      </c>
      <c r="G444" s="3">
        <v>1701.79</v>
      </c>
      <c r="H444" s="3">
        <v>2533.54</v>
      </c>
      <c r="I444" s="1">
        <v>30</v>
      </c>
      <c r="J444" s="4">
        <v>3.42</v>
      </c>
      <c r="K444" s="4">
        <f t="shared" si="20"/>
        <v>-831.75</v>
      </c>
    </row>
    <row r="445" spans="2:11" x14ac:dyDescent="0.2">
      <c r="B445" s="2">
        <v>44271</v>
      </c>
      <c r="C445" s="2">
        <f t="shared" si="18"/>
        <v>44286</v>
      </c>
      <c r="D445" s="16">
        <f t="shared" si="19"/>
        <v>2021</v>
      </c>
      <c r="E445" s="1" t="s">
        <v>12</v>
      </c>
      <c r="F445" s="1" t="s">
        <v>16</v>
      </c>
      <c r="G445" s="3">
        <v>5660.02</v>
      </c>
      <c r="H445" s="3">
        <v>2866.3</v>
      </c>
      <c r="I445" s="1">
        <v>78</v>
      </c>
      <c r="J445" s="4">
        <v>2.16</v>
      </c>
      <c r="K445" s="4">
        <f t="shared" si="20"/>
        <v>2793.7200000000003</v>
      </c>
    </row>
    <row r="446" spans="2:11" x14ac:dyDescent="0.2">
      <c r="B446" s="2">
        <v>44272</v>
      </c>
      <c r="C446" s="2">
        <f t="shared" si="18"/>
        <v>44286</v>
      </c>
      <c r="D446" s="16">
        <f t="shared" si="19"/>
        <v>2021</v>
      </c>
      <c r="E446" s="1" t="s">
        <v>9</v>
      </c>
      <c r="F446" s="1" t="s">
        <v>14</v>
      </c>
      <c r="G446" s="3">
        <v>4246.92</v>
      </c>
      <c r="H446" s="3">
        <v>3226.06</v>
      </c>
      <c r="I446" s="1">
        <v>57</v>
      </c>
      <c r="J446" s="4">
        <v>1.83</v>
      </c>
      <c r="K446" s="4">
        <f t="shared" si="20"/>
        <v>1020.8600000000001</v>
      </c>
    </row>
    <row r="447" spans="2:11" x14ac:dyDescent="0.2">
      <c r="B447" s="2">
        <v>44273</v>
      </c>
      <c r="C447" s="2">
        <f t="shared" si="18"/>
        <v>44286</v>
      </c>
      <c r="D447" s="16">
        <f t="shared" si="19"/>
        <v>2021</v>
      </c>
      <c r="E447" s="1" t="s">
        <v>10</v>
      </c>
      <c r="F447" s="1" t="s">
        <v>13</v>
      </c>
      <c r="G447" s="3">
        <v>3468.15</v>
      </c>
      <c r="H447" s="3">
        <v>2801.05</v>
      </c>
      <c r="I447" s="1">
        <v>29</v>
      </c>
      <c r="J447" s="4">
        <v>1.61</v>
      </c>
      <c r="K447" s="4">
        <f t="shared" si="20"/>
        <v>667.09999999999991</v>
      </c>
    </row>
    <row r="448" spans="2:11" x14ac:dyDescent="0.2">
      <c r="B448" s="2">
        <v>44274</v>
      </c>
      <c r="C448" s="2">
        <f t="shared" si="18"/>
        <v>44286</v>
      </c>
      <c r="D448" s="16">
        <f t="shared" si="19"/>
        <v>2021</v>
      </c>
      <c r="E448" s="1" t="s">
        <v>10</v>
      </c>
      <c r="F448" s="1" t="s">
        <v>13</v>
      </c>
      <c r="G448" s="3">
        <v>6062.53</v>
      </c>
      <c r="H448" s="3">
        <v>4285.88</v>
      </c>
      <c r="I448" s="1">
        <v>76</v>
      </c>
      <c r="J448" s="4">
        <v>4.5999999999999996</v>
      </c>
      <c r="K448" s="4">
        <f t="shared" si="20"/>
        <v>1776.6499999999996</v>
      </c>
    </row>
    <row r="449" spans="2:11" x14ac:dyDescent="0.2">
      <c r="B449" s="2">
        <v>44275</v>
      </c>
      <c r="C449" s="2">
        <f t="shared" si="18"/>
        <v>44286</v>
      </c>
      <c r="D449" s="16">
        <f t="shared" si="19"/>
        <v>2021</v>
      </c>
      <c r="E449" s="1" t="s">
        <v>9</v>
      </c>
      <c r="F449" s="1" t="s">
        <v>13</v>
      </c>
      <c r="G449" s="3">
        <v>5365.7</v>
      </c>
      <c r="H449" s="3">
        <v>3392.78</v>
      </c>
      <c r="I449" s="1">
        <v>53</v>
      </c>
      <c r="J449" s="4">
        <v>3.84</v>
      </c>
      <c r="K449" s="4">
        <f t="shared" si="20"/>
        <v>1972.9199999999996</v>
      </c>
    </row>
    <row r="450" spans="2:11" x14ac:dyDescent="0.2">
      <c r="B450" s="2">
        <v>44276</v>
      </c>
      <c r="C450" s="2">
        <f t="shared" si="18"/>
        <v>44286</v>
      </c>
      <c r="D450" s="16">
        <f t="shared" si="19"/>
        <v>2021</v>
      </c>
      <c r="E450" s="1" t="s">
        <v>8</v>
      </c>
      <c r="F450" s="1" t="s">
        <v>14</v>
      </c>
      <c r="G450" s="3">
        <v>4153.88</v>
      </c>
      <c r="H450" s="3">
        <v>3587.9</v>
      </c>
      <c r="I450" s="1">
        <v>42</v>
      </c>
      <c r="J450" s="4">
        <v>4.75</v>
      </c>
      <c r="K450" s="4">
        <f t="shared" si="20"/>
        <v>565.98</v>
      </c>
    </row>
    <row r="451" spans="2:11" x14ac:dyDescent="0.2">
      <c r="B451" s="2">
        <v>44277</v>
      </c>
      <c r="C451" s="2">
        <f t="shared" si="18"/>
        <v>44286</v>
      </c>
      <c r="D451" s="16">
        <f t="shared" si="19"/>
        <v>2021</v>
      </c>
      <c r="E451" s="1" t="s">
        <v>10</v>
      </c>
      <c r="F451" s="1" t="s">
        <v>16</v>
      </c>
      <c r="G451" s="3">
        <v>3079.54</v>
      </c>
      <c r="H451" s="3">
        <v>3530.31</v>
      </c>
      <c r="I451" s="1">
        <v>82</v>
      </c>
      <c r="J451" s="4">
        <v>3.41</v>
      </c>
      <c r="K451" s="4">
        <f t="shared" si="20"/>
        <v>-450.77</v>
      </c>
    </row>
    <row r="452" spans="2:11" x14ac:dyDescent="0.2">
      <c r="B452" s="2">
        <v>44278</v>
      </c>
      <c r="C452" s="2">
        <f t="shared" si="18"/>
        <v>44286</v>
      </c>
      <c r="D452" s="16">
        <f t="shared" si="19"/>
        <v>2021</v>
      </c>
      <c r="E452" s="1" t="s">
        <v>12</v>
      </c>
      <c r="F452" s="1" t="s">
        <v>13</v>
      </c>
      <c r="G452" s="3">
        <v>6308.69</v>
      </c>
      <c r="H452" s="3">
        <v>3938.78</v>
      </c>
      <c r="I452" s="1">
        <v>70</v>
      </c>
      <c r="J452" s="4">
        <v>2.89</v>
      </c>
      <c r="K452" s="4">
        <f t="shared" si="20"/>
        <v>2369.9099999999994</v>
      </c>
    </row>
    <row r="453" spans="2:11" x14ac:dyDescent="0.2">
      <c r="B453" s="2">
        <v>44279</v>
      </c>
      <c r="C453" s="2">
        <f t="shared" si="18"/>
        <v>44286</v>
      </c>
      <c r="D453" s="16">
        <f t="shared" si="19"/>
        <v>2021</v>
      </c>
      <c r="E453" s="1" t="s">
        <v>12</v>
      </c>
      <c r="F453" s="1" t="s">
        <v>14</v>
      </c>
      <c r="G453" s="3">
        <v>5975.3</v>
      </c>
      <c r="H453" s="3">
        <v>3144.82</v>
      </c>
      <c r="I453" s="1">
        <v>18</v>
      </c>
      <c r="J453" s="4">
        <v>1.24</v>
      </c>
      <c r="K453" s="4">
        <f t="shared" si="20"/>
        <v>2830.48</v>
      </c>
    </row>
    <row r="454" spans="2:11" x14ac:dyDescent="0.2">
      <c r="B454" s="2">
        <v>44280</v>
      </c>
      <c r="C454" s="2">
        <f t="shared" ref="C454:C504" si="21">EOMONTH(B454,0)</f>
        <v>44286</v>
      </c>
      <c r="D454" s="16">
        <f t="shared" ref="D454:D504" si="22">YEAR(B454)</f>
        <v>2021</v>
      </c>
      <c r="E454" s="1" t="s">
        <v>11</v>
      </c>
      <c r="F454" s="1" t="s">
        <v>13</v>
      </c>
      <c r="G454" s="3">
        <v>4851.24</v>
      </c>
      <c r="H454" s="3">
        <v>1962.53</v>
      </c>
      <c r="I454" s="1">
        <v>77</v>
      </c>
      <c r="J454" s="4">
        <v>3.69</v>
      </c>
      <c r="K454" s="4">
        <f t="shared" ref="K454:K504" si="23">G454-H454</f>
        <v>2888.71</v>
      </c>
    </row>
    <row r="455" spans="2:11" x14ac:dyDescent="0.2">
      <c r="B455" s="2">
        <v>44281</v>
      </c>
      <c r="C455" s="2">
        <f t="shared" si="21"/>
        <v>44286</v>
      </c>
      <c r="D455" s="16">
        <f t="shared" si="22"/>
        <v>2021</v>
      </c>
      <c r="E455" s="1" t="s">
        <v>10</v>
      </c>
      <c r="F455" s="1" t="s">
        <v>15</v>
      </c>
      <c r="G455" s="3">
        <v>7769.96</v>
      </c>
      <c r="H455" s="3">
        <v>3319.75</v>
      </c>
      <c r="I455" s="1">
        <v>44</v>
      </c>
      <c r="J455" s="4">
        <v>3.33</v>
      </c>
      <c r="K455" s="4">
        <f t="shared" si="23"/>
        <v>4450.21</v>
      </c>
    </row>
    <row r="456" spans="2:11" x14ac:dyDescent="0.2">
      <c r="B456" s="2">
        <v>44282</v>
      </c>
      <c r="C456" s="2">
        <f t="shared" si="21"/>
        <v>44286</v>
      </c>
      <c r="D456" s="16">
        <f t="shared" si="22"/>
        <v>2021</v>
      </c>
      <c r="E456" s="1" t="s">
        <v>8</v>
      </c>
      <c r="F456" s="1" t="s">
        <v>13</v>
      </c>
      <c r="G456" s="3">
        <v>3394.87</v>
      </c>
      <c r="H456" s="3">
        <v>2478.91</v>
      </c>
      <c r="I456" s="1">
        <v>90</v>
      </c>
      <c r="J456" s="4">
        <v>4.96</v>
      </c>
      <c r="K456" s="4">
        <f t="shared" si="23"/>
        <v>915.96</v>
      </c>
    </row>
    <row r="457" spans="2:11" x14ac:dyDescent="0.2">
      <c r="B457" s="2">
        <v>44283</v>
      </c>
      <c r="C457" s="2">
        <f t="shared" si="21"/>
        <v>44286</v>
      </c>
      <c r="D457" s="16">
        <f t="shared" si="22"/>
        <v>2021</v>
      </c>
      <c r="E457" s="1" t="s">
        <v>9</v>
      </c>
      <c r="F457" s="1" t="s">
        <v>13</v>
      </c>
      <c r="G457" s="3">
        <v>2711.71</v>
      </c>
      <c r="H457" s="3">
        <v>2577.11</v>
      </c>
      <c r="I457" s="1">
        <v>97</v>
      </c>
      <c r="J457" s="4">
        <v>1.96</v>
      </c>
      <c r="K457" s="4">
        <f t="shared" si="23"/>
        <v>134.59999999999991</v>
      </c>
    </row>
    <row r="458" spans="2:11" x14ac:dyDescent="0.2">
      <c r="B458" s="2">
        <v>44284</v>
      </c>
      <c r="C458" s="2">
        <f t="shared" si="21"/>
        <v>44286</v>
      </c>
      <c r="D458" s="16">
        <f t="shared" si="22"/>
        <v>2021</v>
      </c>
      <c r="E458" s="1" t="s">
        <v>9</v>
      </c>
      <c r="F458" s="1" t="s">
        <v>16</v>
      </c>
      <c r="G458" s="3">
        <v>3962.14</v>
      </c>
      <c r="H458" s="3">
        <v>3469.09</v>
      </c>
      <c r="I458" s="1">
        <v>74</v>
      </c>
      <c r="J458" s="4">
        <v>3.12</v>
      </c>
      <c r="K458" s="4">
        <f t="shared" si="23"/>
        <v>493.04999999999973</v>
      </c>
    </row>
    <row r="459" spans="2:11" x14ac:dyDescent="0.2">
      <c r="B459" s="2">
        <v>44285</v>
      </c>
      <c r="C459" s="2">
        <f t="shared" si="21"/>
        <v>44286</v>
      </c>
      <c r="D459" s="16">
        <f t="shared" si="22"/>
        <v>2021</v>
      </c>
      <c r="E459" s="1" t="s">
        <v>8</v>
      </c>
      <c r="F459" s="1" t="s">
        <v>14</v>
      </c>
      <c r="G459" s="3">
        <v>4931.62</v>
      </c>
      <c r="H459" s="3">
        <v>3990.63</v>
      </c>
      <c r="I459" s="1">
        <v>17</v>
      </c>
      <c r="J459" s="4">
        <v>3.6</v>
      </c>
      <c r="K459" s="4">
        <f t="shared" si="23"/>
        <v>940.98999999999978</v>
      </c>
    </row>
    <row r="460" spans="2:11" x14ac:dyDescent="0.2">
      <c r="B460" s="2">
        <v>44286</v>
      </c>
      <c r="C460" s="2">
        <f t="shared" si="21"/>
        <v>44286</v>
      </c>
      <c r="D460" s="16">
        <f t="shared" si="22"/>
        <v>2021</v>
      </c>
      <c r="E460" s="1" t="s">
        <v>11</v>
      </c>
      <c r="F460" s="1" t="s">
        <v>16</v>
      </c>
      <c r="G460" s="3">
        <v>5365.01</v>
      </c>
      <c r="H460" s="3">
        <v>3017.02</v>
      </c>
      <c r="I460" s="1">
        <v>54</v>
      </c>
      <c r="J460" s="4">
        <v>3.58</v>
      </c>
      <c r="K460" s="4">
        <f t="shared" si="23"/>
        <v>2347.9900000000002</v>
      </c>
    </row>
    <row r="461" spans="2:11" x14ac:dyDescent="0.2">
      <c r="B461" s="2">
        <v>44287</v>
      </c>
      <c r="C461" s="2">
        <f t="shared" si="21"/>
        <v>44316</v>
      </c>
      <c r="D461" s="16">
        <f t="shared" si="22"/>
        <v>2021</v>
      </c>
      <c r="E461" s="1" t="s">
        <v>9</v>
      </c>
      <c r="F461" s="1" t="s">
        <v>16</v>
      </c>
      <c r="G461" s="3">
        <v>4638.1499999999996</v>
      </c>
      <c r="H461" s="3">
        <v>3247.07</v>
      </c>
      <c r="I461" s="1">
        <v>96</v>
      </c>
      <c r="J461" s="4">
        <v>3.25</v>
      </c>
      <c r="K461" s="4">
        <f t="shared" si="23"/>
        <v>1391.0799999999995</v>
      </c>
    </row>
    <row r="462" spans="2:11" x14ac:dyDescent="0.2">
      <c r="B462" s="2">
        <v>44288</v>
      </c>
      <c r="C462" s="2">
        <f t="shared" si="21"/>
        <v>44316</v>
      </c>
      <c r="D462" s="16">
        <f t="shared" si="22"/>
        <v>2021</v>
      </c>
      <c r="E462" s="1" t="s">
        <v>10</v>
      </c>
      <c r="F462" s="1" t="s">
        <v>16</v>
      </c>
      <c r="G462" s="3">
        <v>5528.08</v>
      </c>
      <c r="H462" s="3">
        <v>4361.7700000000004</v>
      </c>
      <c r="I462" s="1">
        <v>56</v>
      </c>
      <c r="J462" s="4">
        <v>4.1100000000000003</v>
      </c>
      <c r="K462" s="4">
        <f t="shared" si="23"/>
        <v>1166.3099999999995</v>
      </c>
    </row>
    <row r="463" spans="2:11" x14ac:dyDescent="0.2">
      <c r="B463" s="2">
        <v>44289</v>
      </c>
      <c r="C463" s="2">
        <f t="shared" si="21"/>
        <v>44316</v>
      </c>
      <c r="D463" s="16">
        <f t="shared" si="22"/>
        <v>2021</v>
      </c>
      <c r="E463" s="1" t="s">
        <v>11</v>
      </c>
      <c r="F463" s="1" t="s">
        <v>16</v>
      </c>
      <c r="G463" s="3">
        <v>3122.69</v>
      </c>
      <c r="H463" s="3">
        <v>3192.6</v>
      </c>
      <c r="I463" s="1">
        <v>49</v>
      </c>
      <c r="J463" s="4">
        <v>1.82</v>
      </c>
      <c r="K463" s="4">
        <f t="shared" si="23"/>
        <v>-69.909999999999854</v>
      </c>
    </row>
    <row r="464" spans="2:11" x14ac:dyDescent="0.2">
      <c r="B464" s="2">
        <v>44290</v>
      </c>
      <c r="C464" s="2">
        <f t="shared" si="21"/>
        <v>44316</v>
      </c>
      <c r="D464" s="16">
        <f t="shared" si="22"/>
        <v>2021</v>
      </c>
      <c r="E464" s="1" t="s">
        <v>10</v>
      </c>
      <c r="F464" s="1" t="s">
        <v>16</v>
      </c>
      <c r="G464" s="3">
        <v>7165.65</v>
      </c>
      <c r="H464" s="3">
        <v>5081.3500000000004</v>
      </c>
      <c r="I464" s="1">
        <v>85</v>
      </c>
      <c r="J464" s="4">
        <v>3.9</v>
      </c>
      <c r="K464" s="4">
        <f t="shared" si="23"/>
        <v>2084.2999999999993</v>
      </c>
    </row>
    <row r="465" spans="2:11" x14ac:dyDescent="0.2">
      <c r="B465" s="2">
        <v>44291</v>
      </c>
      <c r="C465" s="2">
        <f t="shared" si="21"/>
        <v>44316</v>
      </c>
      <c r="D465" s="16">
        <f t="shared" si="22"/>
        <v>2021</v>
      </c>
      <c r="E465" s="1" t="s">
        <v>12</v>
      </c>
      <c r="F465" s="1" t="s">
        <v>13</v>
      </c>
      <c r="G465" s="3">
        <v>4876.7700000000004</v>
      </c>
      <c r="H465" s="3">
        <v>3452.41</v>
      </c>
      <c r="I465" s="1">
        <v>63</v>
      </c>
      <c r="J465" s="4">
        <v>3.48</v>
      </c>
      <c r="K465" s="4">
        <f t="shared" si="23"/>
        <v>1424.3600000000006</v>
      </c>
    </row>
    <row r="466" spans="2:11" x14ac:dyDescent="0.2">
      <c r="B466" s="2">
        <v>44292</v>
      </c>
      <c r="C466" s="2">
        <f t="shared" si="21"/>
        <v>44316</v>
      </c>
      <c r="D466" s="16">
        <f t="shared" si="22"/>
        <v>2021</v>
      </c>
      <c r="E466" s="1" t="s">
        <v>11</v>
      </c>
      <c r="F466" s="1" t="s">
        <v>16</v>
      </c>
      <c r="G466" s="3">
        <v>6675.94</v>
      </c>
      <c r="H466" s="3">
        <v>1591.39</v>
      </c>
      <c r="I466" s="1">
        <v>85</v>
      </c>
      <c r="J466" s="4">
        <v>4.58</v>
      </c>
      <c r="K466" s="4">
        <f t="shared" si="23"/>
        <v>5084.5499999999993</v>
      </c>
    </row>
    <row r="467" spans="2:11" x14ac:dyDescent="0.2">
      <c r="B467" s="2">
        <v>44293</v>
      </c>
      <c r="C467" s="2">
        <f t="shared" si="21"/>
        <v>44316</v>
      </c>
      <c r="D467" s="16">
        <f t="shared" si="22"/>
        <v>2021</v>
      </c>
      <c r="E467" s="1" t="s">
        <v>9</v>
      </c>
      <c r="F467" s="1" t="s">
        <v>16</v>
      </c>
      <c r="G467" s="3">
        <v>5514.09</v>
      </c>
      <c r="H467" s="3">
        <v>3602.67</v>
      </c>
      <c r="I467" s="1">
        <v>55</v>
      </c>
      <c r="J467" s="4">
        <v>4.3899999999999997</v>
      </c>
      <c r="K467" s="4">
        <f t="shared" si="23"/>
        <v>1911.42</v>
      </c>
    </row>
    <row r="468" spans="2:11" x14ac:dyDescent="0.2">
      <c r="B468" s="2">
        <v>44294</v>
      </c>
      <c r="C468" s="2">
        <f t="shared" si="21"/>
        <v>44316</v>
      </c>
      <c r="D468" s="16">
        <f t="shared" si="22"/>
        <v>2021</v>
      </c>
      <c r="E468" s="1" t="s">
        <v>11</v>
      </c>
      <c r="F468" s="1" t="s">
        <v>14</v>
      </c>
      <c r="G468" s="3">
        <v>5685.13</v>
      </c>
      <c r="H468" s="3">
        <v>3304.93</v>
      </c>
      <c r="I468" s="1">
        <v>56</v>
      </c>
      <c r="J468" s="4">
        <v>2.2599999999999998</v>
      </c>
      <c r="K468" s="4">
        <f t="shared" si="23"/>
        <v>2380.2000000000003</v>
      </c>
    </row>
    <row r="469" spans="2:11" x14ac:dyDescent="0.2">
      <c r="B469" s="2">
        <v>44295</v>
      </c>
      <c r="C469" s="2">
        <f t="shared" si="21"/>
        <v>44316</v>
      </c>
      <c r="D469" s="16">
        <f t="shared" si="22"/>
        <v>2021</v>
      </c>
      <c r="E469" s="1" t="s">
        <v>11</v>
      </c>
      <c r="F469" s="1" t="s">
        <v>15</v>
      </c>
      <c r="G469" s="3">
        <v>5854.65</v>
      </c>
      <c r="H469" s="3">
        <v>4031.8</v>
      </c>
      <c r="I469" s="1">
        <v>24</v>
      </c>
      <c r="J469" s="4">
        <v>2.1</v>
      </c>
      <c r="K469" s="4">
        <f t="shared" si="23"/>
        <v>1822.8499999999995</v>
      </c>
    </row>
    <row r="470" spans="2:11" x14ac:dyDescent="0.2">
      <c r="B470" s="2">
        <v>44296</v>
      </c>
      <c r="C470" s="2">
        <f t="shared" si="21"/>
        <v>44316</v>
      </c>
      <c r="D470" s="16">
        <f t="shared" si="22"/>
        <v>2021</v>
      </c>
      <c r="E470" s="1" t="s">
        <v>11</v>
      </c>
      <c r="F470" s="1" t="s">
        <v>13</v>
      </c>
      <c r="G470" s="3">
        <v>5671.56</v>
      </c>
      <c r="H470" s="3">
        <v>3538.55</v>
      </c>
      <c r="I470" s="1">
        <v>28</v>
      </c>
      <c r="J470" s="4">
        <v>4.93</v>
      </c>
      <c r="K470" s="4">
        <f t="shared" si="23"/>
        <v>2133.0100000000002</v>
      </c>
    </row>
    <row r="471" spans="2:11" x14ac:dyDescent="0.2">
      <c r="B471" s="2">
        <v>44297</v>
      </c>
      <c r="C471" s="2">
        <f t="shared" si="21"/>
        <v>44316</v>
      </c>
      <c r="D471" s="16">
        <f t="shared" si="22"/>
        <v>2021</v>
      </c>
      <c r="E471" s="1" t="s">
        <v>11</v>
      </c>
      <c r="F471" s="1" t="s">
        <v>13</v>
      </c>
      <c r="G471" s="3">
        <v>5964.08</v>
      </c>
      <c r="H471" s="3">
        <v>2889.24</v>
      </c>
      <c r="I471" s="1">
        <v>35</v>
      </c>
      <c r="J471" s="4">
        <v>3.11</v>
      </c>
      <c r="K471" s="4">
        <f t="shared" si="23"/>
        <v>3074.84</v>
      </c>
    </row>
    <row r="472" spans="2:11" x14ac:dyDescent="0.2">
      <c r="B472" s="2">
        <v>44298</v>
      </c>
      <c r="C472" s="2">
        <f t="shared" si="21"/>
        <v>44316</v>
      </c>
      <c r="D472" s="16">
        <f t="shared" si="22"/>
        <v>2021</v>
      </c>
      <c r="E472" s="1" t="s">
        <v>10</v>
      </c>
      <c r="F472" s="1" t="s">
        <v>13</v>
      </c>
      <c r="G472" s="3">
        <v>6993.73</v>
      </c>
      <c r="H472" s="3">
        <v>2020.56</v>
      </c>
      <c r="I472" s="1">
        <v>61</v>
      </c>
      <c r="J472" s="4">
        <v>4.63</v>
      </c>
      <c r="K472" s="4">
        <f t="shared" si="23"/>
        <v>4973.17</v>
      </c>
    </row>
    <row r="473" spans="2:11" x14ac:dyDescent="0.2">
      <c r="B473" s="2">
        <v>44299</v>
      </c>
      <c r="C473" s="2">
        <f t="shared" si="21"/>
        <v>44316</v>
      </c>
      <c r="D473" s="16">
        <f t="shared" si="22"/>
        <v>2021</v>
      </c>
      <c r="E473" s="1" t="s">
        <v>12</v>
      </c>
      <c r="F473" s="1" t="s">
        <v>16</v>
      </c>
      <c r="G473" s="3">
        <v>5294.78</v>
      </c>
      <c r="H473" s="3">
        <v>2832.78</v>
      </c>
      <c r="I473" s="1">
        <v>31</v>
      </c>
      <c r="J473" s="4">
        <v>1.66</v>
      </c>
      <c r="K473" s="4">
        <f t="shared" si="23"/>
        <v>2461.9999999999995</v>
      </c>
    </row>
    <row r="474" spans="2:11" x14ac:dyDescent="0.2">
      <c r="B474" s="2">
        <v>44300</v>
      </c>
      <c r="C474" s="2">
        <f t="shared" si="21"/>
        <v>44316</v>
      </c>
      <c r="D474" s="16">
        <f t="shared" si="22"/>
        <v>2021</v>
      </c>
      <c r="E474" s="1" t="s">
        <v>8</v>
      </c>
      <c r="F474" s="1" t="s">
        <v>16</v>
      </c>
      <c r="G474" s="3">
        <v>6063.51</v>
      </c>
      <c r="H474" s="3">
        <v>2319.58</v>
      </c>
      <c r="I474" s="1">
        <v>30</v>
      </c>
      <c r="J474" s="4">
        <v>3.57</v>
      </c>
      <c r="K474" s="4">
        <f t="shared" si="23"/>
        <v>3743.9300000000003</v>
      </c>
    </row>
    <row r="475" spans="2:11" x14ac:dyDescent="0.2">
      <c r="B475" s="2">
        <v>44301</v>
      </c>
      <c r="C475" s="2">
        <f t="shared" si="21"/>
        <v>44316</v>
      </c>
      <c r="D475" s="16">
        <f t="shared" si="22"/>
        <v>2021</v>
      </c>
      <c r="E475" s="1" t="s">
        <v>11</v>
      </c>
      <c r="F475" s="1" t="s">
        <v>16</v>
      </c>
      <c r="G475" s="3">
        <v>4865.3999999999996</v>
      </c>
      <c r="H475" s="3">
        <v>2535.58</v>
      </c>
      <c r="I475" s="1">
        <v>60</v>
      </c>
      <c r="J475" s="4">
        <v>4.24</v>
      </c>
      <c r="K475" s="4">
        <f t="shared" si="23"/>
        <v>2329.8199999999997</v>
      </c>
    </row>
    <row r="476" spans="2:11" x14ac:dyDescent="0.2">
      <c r="B476" s="2">
        <v>44302</v>
      </c>
      <c r="C476" s="2">
        <f t="shared" si="21"/>
        <v>44316</v>
      </c>
      <c r="D476" s="16">
        <f t="shared" si="22"/>
        <v>2021</v>
      </c>
      <c r="E476" s="1" t="s">
        <v>9</v>
      </c>
      <c r="F476" s="1" t="s">
        <v>14</v>
      </c>
      <c r="G476" s="3">
        <v>7160.18</v>
      </c>
      <c r="H476" s="3">
        <v>3470.86</v>
      </c>
      <c r="I476" s="1">
        <v>47</v>
      </c>
      <c r="J476" s="4">
        <v>4.79</v>
      </c>
      <c r="K476" s="4">
        <f t="shared" si="23"/>
        <v>3689.32</v>
      </c>
    </row>
    <row r="477" spans="2:11" x14ac:dyDescent="0.2">
      <c r="B477" s="2">
        <v>44303</v>
      </c>
      <c r="C477" s="2">
        <f t="shared" si="21"/>
        <v>44316</v>
      </c>
      <c r="D477" s="16">
        <f t="shared" si="22"/>
        <v>2021</v>
      </c>
      <c r="E477" s="1" t="s">
        <v>11</v>
      </c>
      <c r="F477" s="1" t="s">
        <v>15</v>
      </c>
      <c r="G477" s="3">
        <v>3985.41</v>
      </c>
      <c r="H477" s="3">
        <v>4335.92</v>
      </c>
      <c r="I477" s="1">
        <v>29</v>
      </c>
      <c r="J477" s="4">
        <v>2.35</v>
      </c>
      <c r="K477" s="4">
        <f t="shared" si="23"/>
        <v>-350.51000000000022</v>
      </c>
    </row>
    <row r="478" spans="2:11" x14ac:dyDescent="0.2">
      <c r="B478" s="2">
        <v>44304</v>
      </c>
      <c r="C478" s="2">
        <f t="shared" si="21"/>
        <v>44316</v>
      </c>
      <c r="D478" s="16">
        <f t="shared" si="22"/>
        <v>2021</v>
      </c>
      <c r="E478" s="1" t="s">
        <v>9</v>
      </c>
      <c r="F478" s="1" t="s">
        <v>16</v>
      </c>
      <c r="G478" s="3">
        <v>7701.41</v>
      </c>
      <c r="H478" s="3">
        <v>3315.74</v>
      </c>
      <c r="I478" s="1">
        <v>38</v>
      </c>
      <c r="J478" s="4">
        <v>3.9</v>
      </c>
      <c r="K478" s="4">
        <f t="shared" si="23"/>
        <v>4385.67</v>
      </c>
    </row>
    <row r="479" spans="2:11" x14ac:dyDescent="0.2">
      <c r="B479" s="2">
        <v>44305</v>
      </c>
      <c r="C479" s="2">
        <f t="shared" si="21"/>
        <v>44316</v>
      </c>
      <c r="D479" s="16">
        <f t="shared" si="22"/>
        <v>2021</v>
      </c>
      <c r="E479" s="1" t="s">
        <v>10</v>
      </c>
      <c r="F479" s="1" t="s">
        <v>15</v>
      </c>
      <c r="G479" s="3">
        <v>4939.76</v>
      </c>
      <c r="H479" s="3">
        <v>2043.29</v>
      </c>
      <c r="I479" s="1">
        <v>60</v>
      </c>
      <c r="J479" s="4">
        <v>3.16</v>
      </c>
      <c r="K479" s="4">
        <f t="shared" si="23"/>
        <v>2896.4700000000003</v>
      </c>
    </row>
    <row r="480" spans="2:11" x14ac:dyDescent="0.2">
      <c r="B480" s="2">
        <v>44306</v>
      </c>
      <c r="C480" s="2">
        <f t="shared" si="21"/>
        <v>44316</v>
      </c>
      <c r="D480" s="16">
        <f t="shared" si="22"/>
        <v>2021</v>
      </c>
      <c r="E480" s="1" t="s">
        <v>9</v>
      </c>
      <c r="F480" s="1" t="s">
        <v>14</v>
      </c>
      <c r="G480" s="3">
        <v>2853.84</v>
      </c>
      <c r="H480" s="3">
        <v>3355.68</v>
      </c>
      <c r="I480" s="1">
        <v>13</v>
      </c>
      <c r="J480" s="4">
        <v>1.24</v>
      </c>
      <c r="K480" s="4">
        <f t="shared" si="23"/>
        <v>-501.83999999999969</v>
      </c>
    </row>
    <row r="481" spans="2:11" x14ac:dyDescent="0.2">
      <c r="B481" s="2">
        <v>44307</v>
      </c>
      <c r="C481" s="2">
        <f t="shared" si="21"/>
        <v>44316</v>
      </c>
      <c r="D481" s="16">
        <f t="shared" si="22"/>
        <v>2021</v>
      </c>
      <c r="E481" s="1" t="s">
        <v>8</v>
      </c>
      <c r="F481" s="1" t="s">
        <v>13</v>
      </c>
      <c r="G481" s="3">
        <v>5192.16</v>
      </c>
      <c r="H481" s="3">
        <v>3957.31</v>
      </c>
      <c r="I481" s="1">
        <v>64</v>
      </c>
      <c r="J481" s="4">
        <v>3.76</v>
      </c>
      <c r="K481" s="4">
        <f t="shared" si="23"/>
        <v>1234.8499999999999</v>
      </c>
    </row>
    <row r="482" spans="2:11" x14ac:dyDescent="0.2">
      <c r="B482" s="2">
        <v>44308</v>
      </c>
      <c r="C482" s="2">
        <f t="shared" si="21"/>
        <v>44316</v>
      </c>
      <c r="D482" s="16">
        <f t="shared" si="22"/>
        <v>2021</v>
      </c>
      <c r="E482" s="1" t="s">
        <v>12</v>
      </c>
      <c r="F482" s="1" t="s">
        <v>16</v>
      </c>
      <c r="G482" s="3">
        <v>3978.42</v>
      </c>
      <c r="H482" s="3">
        <v>2512.17</v>
      </c>
      <c r="I482" s="1">
        <v>80</v>
      </c>
      <c r="J482" s="4">
        <v>3.76</v>
      </c>
      <c r="K482" s="4">
        <f t="shared" si="23"/>
        <v>1466.25</v>
      </c>
    </row>
    <row r="483" spans="2:11" x14ac:dyDescent="0.2">
      <c r="B483" s="2">
        <v>44309</v>
      </c>
      <c r="C483" s="2">
        <f t="shared" si="21"/>
        <v>44316</v>
      </c>
      <c r="D483" s="16">
        <f t="shared" si="22"/>
        <v>2021</v>
      </c>
      <c r="E483" s="1" t="s">
        <v>9</v>
      </c>
      <c r="F483" s="1" t="s">
        <v>15</v>
      </c>
      <c r="G483" s="3">
        <v>6260.97</v>
      </c>
      <c r="H483" s="3">
        <v>2892.79</v>
      </c>
      <c r="I483" s="1">
        <v>37</v>
      </c>
      <c r="J483" s="4">
        <v>4.72</v>
      </c>
      <c r="K483" s="4">
        <f t="shared" si="23"/>
        <v>3368.1800000000003</v>
      </c>
    </row>
    <row r="484" spans="2:11" x14ac:dyDescent="0.2">
      <c r="B484" s="2">
        <v>44310</v>
      </c>
      <c r="C484" s="2">
        <f t="shared" si="21"/>
        <v>44316</v>
      </c>
      <c r="D484" s="16">
        <f t="shared" si="22"/>
        <v>2021</v>
      </c>
      <c r="E484" s="1" t="s">
        <v>9</v>
      </c>
      <c r="F484" s="1" t="s">
        <v>15</v>
      </c>
      <c r="G484" s="3">
        <v>4021.06</v>
      </c>
      <c r="H484" s="3">
        <v>3011.75</v>
      </c>
      <c r="I484" s="1">
        <v>13</v>
      </c>
      <c r="J484" s="4">
        <v>2.99</v>
      </c>
      <c r="K484" s="4">
        <f t="shared" si="23"/>
        <v>1009.31</v>
      </c>
    </row>
    <row r="485" spans="2:11" x14ac:dyDescent="0.2">
      <c r="B485" s="2">
        <v>44311</v>
      </c>
      <c r="C485" s="2">
        <f t="shared" si="21"/>
        <v>44316</v>
      </c>
      <c r="D485" s="16">
        <f t="shared" si="22"/>
        <v>2021</v>
      </c>
      <c r="E485" s="1" t="s">
        <v>12</v>
      </c>
      <c r="F485" s="1" t="s">
        <v>16</v>
      </c>
      <c r="G485" s="3">
        <v>4330.72</v>
      </c>
      <c r="H485" s="3">
        <v>2372.08</v>
      </c>
      <c r="I485" s="1">
        <v>31</v>
      </c>
      <c r="J485" s="4">
        <v>1.92</v>
      </c>
      <c r="K485" s="4">
        <f t="shared" si="23"/>
        <v>1958.6400000000003</v>
      </c>
    </row>
    <row r="486" spans="2:11" x14ac:dyDescent="0.2">
      <c r="B486" s="2">
        <v>44312</v>
      </c>
      <c r="C486" s="2">
        <f t="shared" si="21"/>
        <v>44316</v>
      </c>
      <c r="D486" s="16">
        <f t="shared" si="22"/>
        <v>2021</v>
      </c>
      <c r="E486" s="1" t="s">
        <v>8</v>
      </c>
      <c r="F486" s="1" t="s">
        <v>13</v>
      </c>
      <c r="G486" s="3">
        <v>2165.69</v>
      </c>
      <c r="H486" s="3">
        <v>3518.62</v>
      </c>
      <c r="I486" s="1">
        <v>85</v>
      </c>
      <c r="J486" s="4">
        <v>1.18</v>
      </c>
      <c r="K486" s="4">
        <f t="shared" si="23"/>
        <v>-1352.9299999999998</v>
      </c>
    </row>
    <row r="487" spans="2:11" x14ac:dyDescent="0.2">
      <c r="B487" s="2">
        <v>44313</v>
      </c>
      <c r="C487" s="2">
        <f t="shared" si="21"/>
        <v>44316</v>
      </c>
      <c r="D487" s="16">
        <f t="shared" si="22"/>
        <v>2021</v>
      </c>
      <c r="E487" s="1" t="s">
        <v>11</v>
      </c>
      <c r="F487" s="1" t="s">
        <v>13</v>
      </c>
      <c r="G487" s="3">
        <v>4321.54</v>
      </c>
      <c r="H487" s="3">
        <v>2903.24</v>
      </c>
      <c r="I487" s="1">
        <v>54</v>
      </c>
      <c r="J487" s="4">
        <v>2.66</v>
      </c>
      <c r="K487" s="4">
        <f t="shared" si="23"/>
        <v>1418.3000000000002</v>
      </c>
    </row>
    <row r="488" spans="2:11" x14ac:dyDescent="0.2">
      <c r="B488" s="2">
        <v>44314</v>
      </c>
      <c r="C488" s="2">
        <f t="shared" si="21"/>
        <v>44316</v>
      </c>
      <c r="D488" s="16">
        <f t="shared" si="22"/>
        <v>2021</v>
      </c>
      <c r="E488" s="1" t="s">
        <v>9</v>
      </c>
      <c r="F488" s="1" t="s">
        <v>13</v>
      </c>
      <c r="G488" s="3">
        <v>1364.18</v>
      </c>
      <c r="H488" s="3">
        <v>3335.63</v>
      </c>
      <c r="I488" s="1">
        <v>76</v>
      </c>
      <c r="J488" s="4">
        <v>2.21</v>
      </c>
      <c r="K488" s="4">
        <f t="shared" si="23"/>
        <v>-1971.45</v>
      </c>
    </row>
    <row r="489" spans="2:11" x14ac:dyDescent="0.2">
      <c r="B489" s="2">
        <v>44315</v>
      </c>
      <c r="C489" s="2">
        <f t="shared" si="21"/>
        <v>44316</v>
      </c>
      <c r="D489" s="16">
        <f t="shared" si="22"/>
        <v>2021</v>
      </c>
      <c r="E489" s="1" t="s">
        <v>12</v>
      </c>
      <c r="F489" s="1" t="s">
        <v>14</v>
      </c>
      <c r="G489" s="3">
        <v>2624.15</v>
      </c>
      <c r="H489" s="3">
        <v>2290.0100000000002</v>
      </c>
      <c r="I489" s="1">
        <v>95</v>
      </c>
      <c r="J489" s="4">
        <v>4.04</v>
      </c>
      <c r="K489" s="4">
        <f t="shared" si="23"/>
        <v>334.13999999999987</v>
      </c>
    </row>
    <row r="490" spans="2:11" x14ac:dyDescent="0.2">
      <c r="B490" s="2">
        <v>44316</v>
      </c>
      <c r="C490" s="2">
        <f t="shared" si="21"/>
        <v>44316</v>
      </c>
      <c r="D490" s="16">
        <f t="shared" si="22"/>
        <v>2021</v>
      </c>
      <c r="E490" s="1" t="s">
        <v>10</v>
      </c>
      <c r="F490" s="1" t="s">
        <v>15</v>
      </c>
      <c r="G490" s="3">
        <v>6140.62</v>
      </c>
      <c r="H490" s="3">
        <v>2650.03</v>
      </c>
      <c r="I490" s="1">
        <v>75</v>
      </c>
      <c r="J490" s="4">
        <v>2.42</v>
      </c>
      <c r="K490" s="4">
        <f t="shared" si="23"/>
        <v>3490.5899999999997</v>
      </c>
    </row>
    <row r="491" spans="2:11" x14ac:dyDescent="0.2">
      <c r="B491" s="2">
        <v>44317</v>
      </c>
      <c r="C491" s="2">
        <f t="shared" si="21"/>
        <v>44347</v>
      </c>
      <c r="D491" s="16">
        <f t="shared" si="22"/>
        <v>2021</v>
      </c>
      <c r="E491" s="1" t="s">
        <v>12</v>
      </c>
      <c r="F491" s="1" t="s">
        <v>15</v>
      </c>
      <c r="G491" s="3">
        <v>6178.7</v>
      </c>
      <c r="H491" s="3">
        <v>3577.91</v>
      </c>
      <c r="I491" s="1">
        <v>97</v>
      </c>
      <c r="J491" s="4">
        <v>4.8</v>
      </c>
      <c r="K491" s="4">
        <f t="shared" si="23"/>
        <v>2600.79</v>
      </c>
    </row>
    <row r="492" spans="2:11" x14ac:dyDescent="0.2">
      <c r="B492" s="2">
        <v>44318</v>
      </c>
      <c r="C492" s="2">
        <f t="shared" si="21"/>
        <v>44347</v>
      </c>
      <c r="D492" s="16">
        <f t="shared" si="22"/>
        <v>2021</v>
      </c>
      <c r="E492" s="1" t="s">
        <v>10</v>
      </c>
      <c r="F492" s="1" t="s">
        <v>15</v>
      </c>
      <c r="G492" s="3">
        <v>5638.19</v>
      </c>
      <c r="H492" s="3">
        <v>2701.73</v>
      </c>
      <c r="I492" s="1">
        <v>43</v>
      </c>
      <c r="J492" s="4">
        <v>4.8499999999999996</v>
      </c>
      <c r="K492" s="4">
        <f t="shared" si="23"/>
        <v>2936.4599999999996</v>
      </c>
    </row>
    <row r="493" spans="2:11" x14ac:dyDescent="0.2">
      <c r="B493" s="2">
        <v>44319</v>
      </c>
      <c r="C493" s="2">
        <f t="shared" si="21"/>
        <v>44347</v>
      </c>
      <c r="D493" s="16">
        <f t="shared" si="22"/>
        <v>2021</v>
      </c>
      <c r="E493" s="1" t="s">
        <v>8</v>
      </c>
      <c r="F493" s="1" t="s">
        <v>14</v>
      </c>
      <c r="G493" s="3">
        <v>3549.54</v>
      </c>
      <c r="H493" s="3">
        <v>4381.57</v>
      </c>
      <c r="I493" s="1">
        <v>64</v>
      </c>
      <c r="J493" s="4">
        <v>3.48</v>
      </c>
      <c r="K493" s="4">
        <f t="shared" si="23"/>
        <v>-832.02999999999975</v>
      </c>
    </row>
    <row r="494" spans="2:11" x14ac:dyDescent="0.2">
      <c r="B494" s="2">
        <v>44320</v>
      </c>
      <c r="C494" s="2">
        <f t="shared" si="21"/>
        <v>44347</v>
      </c>
      <c r="D494" s="16">
        <f t="shared" si="22"/>
        <v>2021</v>
      </c>
      <c r="E494" s="1" t="s">
        <v>11</v>
      </c>
      <c r="F494" s="1" t="s">
        <v>15</v>
      </c>
      <c r="G494" s="3">
        <v>4928.43</v>
      </c>
      <c r="H494" s="3">
        <v>2680.29</v>
      </c>
      <c r="I494" s="1">
        <v>10</v>
      </c>
      <c r="J494" s="4">
        <v>4.71</v>
      </c>
      <c r="K494" s="4">
        <f t="shared" si="23"/>
        <v>2248.1400000000003</v>
      </c>
    </row>
    <row r="495" spans="2:11" x14ac:dyDescent="0.2">
      <c r="B495" s="2">
        <v>44321</v>
      </c>
      <c r="C495" s="2">
        <f t="shared" si="21"/>
        <v>44347</v>
      </c>
      <c r="D495" s="16">
        <f t="shared" si="22"/>
        <v>2021</v>
      </c>
      <c r="E495" s="1" t="s">
        <v>12</v>
      </c>
      <c r="F495" s="1" t="s">
        <v>14</v>
      </c>
      <c r="G495" s="3">
        <v>4994.6000000000004</v>
      </c>
      <c r="H495" s="3">
        <v>3179.75</v>
      </c>
      <c r="I495" s="1">
        <v>81</v>
      </c>
      <c r="J495" s="4">
        <v>4.04</v>
      </c>
      <c r="K495" s="4">
        <f t="shared" si="23"/>
        <v>1814.8500000000004</v>
      </c>
    </row>
    <row r="496" spans="2:11" x14ac:dyDescent="0.2">
      <c r="B496" s="2">
        <v>44322</v>
      </c>
      <c r="C496" s="2">
        <f t="shared" si="21"/>
        <v>44347</v>
      </c>
      <c r="D496" s="16">
        <f t="shared" si="22"/>
        <v>2021</v>
      </c>
      <c r="E496" s="1" t="s">
        <v>9</v>
      </c>
      <c r="F496" s="1" t="s">
        <v>13</v>
      </c>
      <c r="G496" s="3">
        <v>3262.45</v>
      </c>
      <c r="H496" s="3">
        <v>3746.07</v>
      </c>
      <c r="I496" s="1">
        <v>96</v>
      </c>
      <c r="J496" s="4">
        <v>3.19</v>
      </c>
      <c r="K496" s="4">
        <f t="shared" si="23"/>
        <v>-483.62000000000035</v>
      </c>
    </row>
    <row r="497" spans="2:11" x14ac:dyDescent="0.2">
      <c r="B497" s="2">
        <v>44323</v>
      </c>
      <c r="C497" s="2">
        <f t="shared" si="21"/>
        <v>44347</v>
      </c>
      <c r="D497" s="16">
        <f t="shared" si="22"/>
        <v>2021</v>
      </c>
      <c r="E497" s="1" t="s">
        <v>8</v>
      </c>
      <c r="F497" s="1" t="s">
        <v>16</v>
      </c>
      <c r="G497" s="3">
        <v>7255.1</v>
      </c>
      <c r="H497" s="3">
        <v>1865.31</v>
      </c>
      <c r="I497" s="1">
        <v>47</v>
      </c>
      <c r="J497" s="4">
        <v>1.72</v>
      </c>
      <c r="K497" s="4">
        <f t="shared" si="23"/>
        <v>5389.7900000000009</v>
      </c>
    </row>
    <row r="498" spans="2:11" x14ac:dyDescent="0.2">
      <c r="B498" s="2">
        <v>44324</v>
      </c>
      <c r="C498" s="2">
        <f t="shared" si="21"/>
        <v>44347</v>
      </c>
      <c r="D498" s="16">
        <f t="shared" si="22"/>
        <v>2021</v>
      </c>
      <c r="E498" s="1" t="s">
        <v>12</v>
      </c>
      <c r="F498" s="1" t="s">
        <v>15</v>
      </c>
      <c r="G498" s="3">
        <v>6316.04</v>
      </c>
      <c r="H498" s="3">
        <v>1591.35</v>
      </c>
      <c r="I498" s="1">
        <v>15</v>
      </c>
      <c r="J498" s="4">
        <v>2.83</v>
      </c>
      <c r="K498" s="4">
        <f t="shared" si="23"/>
        <v>4724.6900000000005</v>
      </c>
    </row>
    <row r="499" spans="2:11" x14ac:dyDescent="0.2">
      <c r="B499" s="2">
        <v>44325</v>
      </c>
      <c r="C499" s="2">
        <f t="shared" si="21"/>
        <v>44347</v>
      </c>
      <c r="D499" s="16">
        <f t="shared" si="22"/>
        <v>2021</v>
      </c>
      <c r="E499" s="1" t="s">
        <v>9</v>
      </c>
      <c r="F499" s="1" t="s">
        <v>15</v>
      </c>
      <c r="G499" s="3">
        <v>4668.55</v>
      </c>
      <c r="H499" s="3">
        <v>1779.47</v>
      </c>
      <c r="I499" s="1">
        <v>95</v>
      </c>
      <c r="J499" s="4">
        <v>3.24</v>
      </c>
      <c r="K499" s="4">
        <f t="shared" si="23"/>
        <v>2889.08</v>
      </c>
    </row>
    <row r="500" spans="2:11" x14ac:dyDescent="0.2">
      <c r="B500" s="2">
        <v>44326</v>
      </c>
      <c r="C500" s="2">
        <f t="shared" si="21"/>
        <v>44347</v>
      </c>
      <c r="D500" s="16">
        <f t="shared" si="22"/>
        <v>2021</v>
      </c>
      <c r="E500" s="1" t="s">
        <v>12</v>
      </c>
      <c r="F500" s="1" t="s">
        <v>13</v>
      </c>
      <c r="G500" s="3">
        <v>5040.33</v>
      </c>
      <c r="H500" s="3">
        <v>4010.07</v>
      </c>
      <c r="I500" s="1">
        <v>34</v>
      </c>
      <c r="J500" s="4">
        <v>4.46</v>
      </c>
      <c r="K500" s="4">
        <f t="shared" si="23"/>
        <v>1030.2599999999998</v>
      </c>
    </row>
    <row r="501" spans="2:11" x14ac:dyDescent="0.2">
      <c r="B501" s="2">
        <v>44327</v>
      </c>
      <c r="C501" s="2">
        <f t="shared" si="21"/>
        <v>44347</v>
      </c>
      <c r="D501" s="16">
        <f t="shared" si="22"/>
        <v>2021</v>
      </c>
      <c r="E501" s="1" t="s">
        <v>10</v>
      </c>
      <c r="F501" s="1" t="s">
        <v>16</v>
      </c>
      <c r="G501" s="3">
        <v>5312.57</v>
      </c>
      <c r="H501" s="3">
        <v>2558.5100000000002</v>
      </c>
      <c r="I501" s="1">
        <v>91</v>
      </c>
      <c r="J501" s="4">
        <v>2.93</v>
      </c>
      <c r="K501" s="4">
        <f t="shared" si="23"/>
        <v>2754.0599999999995</v>
      </c>
    </row>
    <row r="502" spans="2:11" x14ac:dyDescent="0.2">
      <c r="B502" s="2">
        <v>44328</v>
      </c>
      <c r="C502" s="2">
        <f t="shared" si="21"/>
        <v>44347</v>
      </c>
      <c r="D502" s="16">
        <f t="shared" si="22"/>
        <v>2021</v>
      </c>
      <c r="E502" s="1" t="s">
        <v>12</v>
      </c>
      <c r="F502" s="1" t="s">
        <v>14</v>
      </c>
      <c r="G502" s="3">
        <v>1937.4</v>
      </c>
      <c r="H502" s="3">
        <v>5046.5600000000004</v>
      </c>
      <c r="I502" s="1">
        <v>26</v>
      </c>
      <c r="J502" s="4">
        <v>4.59</v>
      </c>
      <c r="K502" s="4">
        <f t="shared" si="23"/>
        <v>-3109.1600000000003</v>
      </c>
    </row>
    <row r="503" spans="2:11" x14ac:dyDescent="0.2">
      <c r="B503" s="2">
        <v>44329</v>
      </c>
      <c r="C503" s="2">
        <f t="shared" si="21"/>
        <v>44347</v>
      </c>
      <c r="D503" s="16">
        <f t="shared" si="22"/>
        <v>2021</v>
      </c>
      <c r="E503" s="1" t="s">
        <v>12</v>
      </c>
      <c r="F503" s="1" t="s">
        <v>16</v>
      </c>
      <c r="G503" s="3">
        <v>4629.2299999999996</v>
      </c>
      <c r="H503" s="3">
        <v>2548.6</v>
      </c>
      <c r="I503" s="1">
        <v>70</v>
      </c>
      <c r="J503" s="4">
        <v>3.7</v>
      </c>
      <c r="K503" s="4">
        <f t="shared" si="23"/>
        <v>2080.6299999999997</v>
      </c>
    </row>
    <row r="504" spans="2:11" x14ac:dyDescent="0.2">
      <c r="B504" s="2">
        <v>44330</v>
      </c>
      <c r="C504" s="2">
        <f t="shared" si="21"/>
        <v>44347</v>
      </c>
      <c r="D504" s="16">
        <f t="shared" si="22"/>
        <v>2021</v>
      </c>
      <c r="E504" s="1" t="s">
        <v>12</v>
      </c>
      <c r="F504" s="1" t="s">
        <v>13</v>
      </c>
      <c r="G504" s="3">
        <v>3977.02</v>
      </c>
      <c r="H504" s="3">
        <v>3147.64</v>
      </c>
      <c r="I504" s="1">
        <v>21</v>
      </c>
      <c r="J504" s="4">
        <v>1.55</v>
      </c>
      <c r="K504" s="4">
        <f t="shared" si="23"/>
        <v>829.38000000000011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0917-3272-4917-9ED9-67EB69D064A3}">
  <dimension ref="B14"/>
  <sheetViews>
    <sheetView tabSelected="1" workbookViewId="0">
      <selection activeCell="G15" sqref="G15"/>
    </sheetView>
  </sheetViews>
  <sheetFormatPr defaultRowHeight="11.4" x14ac:dyDescent="0.2"/>
  <cols>
    <col min="1" max="16384" width="8.88671875" style="1"/>
  </cols>
  <sheetData>
    <row r="14" spans="2:2" ht="60.6" x14ac:dyDescent="1">
      <c r="B14" s="15" t="s">
        <v>21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B412-C1F8-4CD5-B0A5-063F9C2AC5ED}">
  <sheetPr>
    <pageSetUpPr fitToPage="1"/>
  </sheetPr>
  <dimension ref="C2:T57"/>
  <sheetViews>
    <sheetView showGridLines="0" zoomScaleNormal="100" workbookViewId="0">
      <pane xSplit="1" ySplit="7" topLeftCell="B68" activePane="bottomRight" state="frozen"/>
      <selection pane="topRight" activeCell="B1" sqref="B1"/>
      <selection pane="bottomLeft" activeCell="A8" sqref="A8"/>
      <selection pane="bottomRight" activeCell="G106" sqref="G106"/>
    </sheetView>
  </sheetViews>
  <sheetFormatPr defaultRowHeight="11.4" x14ac:dyDescent="0.2"/>
  <cols>
    <col min="1" max="1" width="2" style="1" customWidth="1"/>
    <col min="2" max="2" width="5.5546875" style="1" customWidth="1"/>
    <col min="3" max="3" width="10.33203125" style="1" bestFit="1" customWidth="1"/>
    <col min="4" max="4" width="13.6640625" style="1" bestFit="1" customWidth="1"/>
    <col min="5" max="5" width="10.6640625" style="1" bestFit="1" customWidth="1"/>
    <col min="6" max="6" width="8.109375" style="1" bestFit="1" customWidth="1"/>
    <col min="7" max="9" width="10.77734375" style="1" bestFit="1" customWidth="1"/>
    <col min="10" max="10" width="13.33203125" style="1" bestFit="1" customWidth="1"/>
    <col min="11" max="11" width="13.6640625" style="1" bestFit="1" customWidth="1"/>
    <col min="12" max="12" width="10.6640625" style="1" bestFit="1" customWidth="1"/>
    <col min="13" max="13" width="8.109375" style="1" bestFit="1" customWidth="1"/>
    <col min="14" max="15" width="9.88671875" style="1" bestFit="1" customWidth="1"/>
    <col min="16" max="16" width="11.88671875" style="1" bestFit="1" customWidth="1"/>
    <col min="17" max="19" width="9.88671875" style="1" bestFit="1" customWidth="1"/>
    <col min="20" max="20" width="8.88671875" style="1"/>
    <col min="21" max="21" width="8.5546875" style="1" customWidth="1"/>
    <col min="22" max="16384" width="8.88671875" style="1"/>
  </cols>
  <sheetData>
    <row r="2" spans="3:20" ht="12" x14ac:dyDescent="0.25">
      <c r="C2" s="11" t="s">
        <v>23</v>
      </c>
    </row>
    <row r="4" spans="3:20" ht="12.6" thickBot="1" x14ac:dyDescent="0.3">
      <c r="C4" s="46" t="s">
        <v>19</v>
      </c>
      <c r="D4" s="47">
        <v>43861</v>
      </c>
      <c r="E4" s="47">
        <v>43890</v>
      </c>
      <c r="F4" s="47">
        <v>43921</v>
      </c>
      <c r="G4" s="47">
        <v>43951</v>
      </c>
      <c r="H4" s="47">
        <v>43982</v>
      </c>
      <c r="I4" s="47">
        <v>44012</v>
      </c>
      <c r="J4" s="47">
        <v>44043</v>
      </c>
      <c r="K4" s="47">
        <v>44074</v>
      </c>
      <c r="L4" s="47">
        <v>44104</v>
      </c>
      <c r="M4" s="47">
        <v>44135</v>
      </c>
      <c r="N4" s="47">
        <v>44165</v>
      </c>
      <c r="O4" s="47">
        <v>44196</v>
      </c>
      <c r="P4" s="47">
        <v>44227</v>
      </c>
      <c r="Q4" s="47">
        <v>44255</v>
      </c>
      <c r="R4" s="47">
        <v>44286</v>
      </c>
      <c r="S4" s="47">
        <v>44316</v>
      </c>
      <c r="T4" s="47">
        <v>44347</v>
      </c>
    </row>
    <row r="5" spans="3:20" ht="12" x14ac:dyDescent="0.25">
      <c r="C5" s="12" t="s">
        <v>3</v>
      </c>
      <c r="D5" s="14">
        <f>SUMIF(Database!$C:$C,Analysis!D$4,Database!$G:$G)</f>
        <v>147266.77999999997</v>
      </c>
      <c r="E5" s="14">
        <f>SUMIF(Database!$C:$C,Analysis!E$4,Database!$G:$G)</f>
        <v>133231.25</v>
      </c>
      <c r="F5" s="14">
        <f>SUMIF(Database!$C:$C,Analysis!F$4,Database!$G:$G)</f>
        <v>157272.60000000003</v>
      </c>
      <c r="G5" s="14">
        <f>SUMIF(Database!$C:$C,Analysis!G$4,Database!$G:$G)</f>
        <v>154169.84</v>
      </c>
      <c r="H5" s="14">
        <f>SUMIF(Database!$C:$C,Analysis!H$4,Database!$G:$G)</f>
        <v>154464.4</v>
      </c>
      <c r="I5" s="14">
        <f>SUMIF(Database!$C:$C,Analysis!I$4,Database!$G:$G)</f>
        <v>143474.97</v>
      </c>
      <c r="J5" s="14">
        <f>SUMIF(Database!$C:$C,Analysis!J$4,Database!$G:$G)</f>
        <v>153576.07999999999</v>
      </c>
      <c r="K5" s="14">
        <f>SUMIF(Database!$C:$C,Analysis!K$4,Database!$G:$G)</f>
        <v>154907.94</v>
      </c>
      <c r="L5" s="14">
        <f>SUMIF(Database!$C:$C,Analysis!L$4,Database!$G:$G)</f>
        <v>150546.03</v>
      </c>
      <c r="M5" s="14">
        <f>SUMIF(Database!$C:$C,Analysis!M$4,Database!$G:$G)</f>
        <v>159303.62000000005</v>
      </c>
      <c r="N5" s="14">
        <f>SUMIF(Database!$C:$C,Analysis!N$4,Database!$G:$G)</f>
        <v>160180.35999999999</v>
      </c>
      <c r="O5" s="14">
        <f>SUMIF(Database!$C:$C,Analysis!O$4,Database!$G:$G)</f>
        <v>153901.07999999999</v>
      </c>
      <c r="P5" s="48">
        <f>SUMIF(Database!$C:$C,Analysis!P$4,Database!$G:$G)</f>
        <v>172545.64</v>
      </c>
      <c r="Q5" s="48">
        <f>SUMIF(Database!$C:$C,Analysis!Q$4,Database!$G:$G)</f>
        <v>156692.72999999998</v>
      </c>
      <c r="R5" s="48">
        <f>SUMIF(Database!$C:$C,Analysis!R$4,Database!$G:$G)</f>
        <v>149821.96000000002</v>
      </c>
      <c r="S5" s="48">
        <f>SUMIF(Database!$C:$C,Analysis!S$4,Database!$G:$G)</f>
        <v>150954.31999999998</v>
      </c>
      <c r="T5" s="48">
        <f>SUMIF(Database!$C:$C,Analysis!T$4,Database!$G:$G)</f>
        <v>67688.150000000009</v>
      </c>
    </row>
    <row r="6" spans="3:20" ht="12" x14ac:dyDescent="0.25">
      <c r="C6" s="12" t="s">
        <v>20</v>
      </c>
      <c r="D6" s="14">
        <f>SUMIF(Database!$C:$C,Analysis!D$4,Database!$H:$H)</f>
        <v>103902.67000000001</v>
      </c>
      <c r="E6" s="14">
        <f>SUMIF(Database!$C:$C,Analysis!E$4,Database!$H:$H)</f>
        <v>90529.2</v>
      </c>
      <c r="F6" s="14">
        <f>SUMIF(Database!$C:$C,Analysis!F$4,Database!$H:$H)</f>
        <v>90780.119999999981</v>
      </c>
      <c r="G6" s="14">
        <f>SUMIF(Database!$C:$C,Analysis!G$4,Database!$H:$H)</f>
        <v>93536.83</v>
      </c>
      <c r="H6" s="14">
        <f>SUMIF(Database!$C:$C,Analysis!H$4,Database!$H:$H)</f>
        <v>102390.34000000003</v>
      </c>
      <c r="I6" s="14">
        <f>SUMIF(Database!$C:$C,Analysis!I$4,Database!$H:$H)</f>
        <v>91311.799999999988</v>
      </c>
      <c r="J6" s="14">
        <f>SUMIF(Database!$C:$C,Analysis!J$4,Database!$H:$H)</f>
        <v>88655.209999999977</v>
      </c>
      <c r="K6" s="14">
        <f>SUMIF(Database!$C:$C,Analysis!K$4,Database!$H:$H)</f>
        <v>97193.209999999992</v>
      </c>
      <c r="L6" s="14">
        <f>SUMIF(Database!$C:$C,Analysis!L$4,Database!$H:$H)</f>
        <v>85978.82</v>
      </c>
      <c r="M6" s="14">
        <f>SUMIF(Database!$C:$C,Analysis!M$4,Database!$H:$H)</f>
        <v>96423.979999999981</v>
      </c>
      <c r="N6" s="14">
        <f>SUMIF(Database!$C:$C,Analysis!N$4,Database!$H:$H)</f>
        <v>87602.650000000009</v>
      </c>
      <c r="O6" s="14">
        <f>SUMIF(Database!$C:$C,Analysis!O$4,Database!$H:$H)</f>
        <v>89048.209999999992</v>
      </c>
      <c r="P6" s="48">
        <f>SUMIF(Database!$C:$C,Analysis!P$4,Database!$H:$H)</f>
        <v>97200.849999999991</v>
      </c>
      <c r="Q6" s="48">
        <f>SUMIF(Database!$C:$C,Analysis!Q$4,Database!$H:$H)</f>
        <v>89839.750000000015</v>
      </c>
      <c r="R6" s="48">
        <f>SUMIF(Database!$C:$C,Analysis!R$4,Database!$H:$H)</f>
        <v>96395.96</v>
      </c>
      <c r="S6" s="48">
        <f>SUMIF(Database!$C:$C,Analysis!S$4,Database!$H:$H)</f>
        <v>93967.4</v>
      </c>
      <c r="T6" s="48">
        <f>SUMIF(Database!$C:$C,Analysis!T$4,Database!$H:$H)</f>
        <v>42814.829999999994</v>
      </c>
    </row>
    <row r="11" spans="3:20" ht="15.6" x14ac:dyDescent="0.3">
      <c r="C11" s="26" t="s">
        <v>24</v>
      </c>
      <c r="D11" s="27"/>
      <c r="E11" s="28"/>
      <c r="F11" s="28"/>
      <c r="G11" s="28"/>
      <c r="H11" s="28"/>
      <c r="J11" s="29" t="s">
        <v>25</v>
      </c>
      <c r="K11" s="28"/>
      <c r="L11" s="28"/>
      <c r="M11" s="28"/>
      <c r="N11" s="28"/>
      <c r="O11" s="28"/>
      <c r="P11" s="28"/>
    </row>
    <row r="12" spans="3:20" ht="14.4" x14ac:dyDescent="0.3">
      <c r="J12" s="18"/>
      <c r="N12" s="18"/>
    </row>
    <row r="13" spans="3:20" ht="12.6" thickBot="1" x14ac:dyDescent="0.3">
      <c r="L13" s="50">
        <v>2020</v>
      </c>
      <c r="M13" s="50">
        <v>2020</v>
      </c>
      <c r="N13" s="50">
        <v>2020</v>
      </c>
      <c r="O13" s="50">
        <v>2020</v>
      </c>
      <c r="P13" s="50">
        <v>2020</v>
      </c>
    </row>
    <row r="14" spans="3:20" ht="12.6" thickBot="1" x14ac:dyDescent="0.3">
      <c r="J14" s="46" t="s">
        <v>19</v>
      </c>
      <c r="K14" s="46"/>
      <c r="L14" s="46" t="s">
        <v>8</v>
      </c>
      <c r="M14" s="46" t="s">
        <v>9</v>
      </c>
      <c r="N14" s="46" t="s">
        <v>10</v>
      </c>
      <c r="O14" s="46" t="s">
        <v>11</v>
      </c>
      <c r="P14" s="46" t="s">
        <v>12</v>
      </c>
    </row>
    <row r="15" spans="3:20" ht="12" x14ac:dyDescent="0.25">
      <c r="J15" s="12" t="s">
        <v>3</v>
      </c>
      <c r="L15" s="14">
        <f>+SUMIFS(Database!$G:$G,Database!$D:$D,Analysis!L$13,Database!$E:$E,Analysis!L$14)</f>
        <v>420713.78</v>
      </c>
      <c r="M15" s="14">
        <f>+SUMIFS(Database!$G:$G,Database!$D:$D,Analysis!M$13,Database!$E:$E,Analysis!M$14)</f>
        <v>297196.72000000009</v>
      </c>
      <c r="N15" s="14">
        <f>+SUMIFS(Database!$G:$G,Database!$D:$D,Analysis!N$13,Database!$E:$E,Analysis!N$14)</f>
        <v>383940.05999999994</v>
      </c>
      <c r="O15" s="14">
        <f>+SUMIFS(Database!$G:$G,Database!$D:$D,Analysis!O$13,Database!$E:$E,Analysis!O$14)</f>
        <v>330788.17999999993</v>
      </c>
      <c r="P15" s="14">
        <f>+SUMIFS(Database!$G:$G,Database!$D:$D,Analysis!P$13,Database!$E:$E,Analysis!P$14)</f>
        <v>389656.20999999985</v>
      </c>
    </row>
    <row r="16" spans="3:20" ht="12" x14ac:dyDescent="0.25">
      <c r="J16" s="12" t="s">
        <v>20</v>
      </c>
      <c r="L16" s="14">
        <f>+SUMIFS(Database!$H:$H,Database!$D:$D,Analysis!L$13,Database!$E:$E,Analysis!L$14)</f>
        <v>252096.6</v>
      </c>
      <c r="M16" s="14">
        <f>+SUMIFS(Database!$H:$H,Database!$D:$D,Analysis!M$13,Database!$E:$E,Analysis!M$14)</f>
        <v>182392.55</v>
      </c>
      <c r="N16" s="14">
        <f>+SUMIFS(Database!$H:$H,Database!$D:$D,Analysis!N$13,Database!$E:$E,Analysis!N$14)</f>
        <v>231265.04</v>
      </c>
      <c r="O16" s="14">
        <f>+SUMIFS(Database!$H:$H,Database!$D:$D,Analysis!O$13,Database!$E:$E,Analysis!O$14)</f>
        <v>195286.25000000003</v>
      </c>
      <c r="P16" s="14">
        <f>+SUMIFS(Database!$H:$H,Database!$D:$D,Analysis!P$13,Database!$E:$E,Analysis!P$14)</f>
        <v>256312.60000000009</v>
      </c>
    </row>
    <row r="17" spans="3:16" ht="12" x14ac:dyDescent="0.25">
      <c r="J17" s="12" t="s">
        <v>7</v>
      </c>
      <c r="L17" s="14">
        <f>+SUMIFS(Database!$K:$K,Database!$D:$D,Analysis!L$13,Database!$E:$E,Analysis!L$14)</f>
        <v>168617.18</v>
      </c>
      <c r="M17" s="14">
        <f>+SUMIFS(Database!$K:$K,Database!$D:$D,Analysis!M$13,Database!$E:$E,Analysis!M$14)</f>
        <v>114804.17</v>
      </c>
      <c r="N17" s="14">
        <f>+SUMIFS(Database!$K:$K,Database!$D:$D,Analysis!N$13,Database!$E:$E,Analysis!N$14)</f>
        <v>152675.02000000005</v>
      </c>
      <c r="O17" s="14">
        <f>+SUMIFS(Database!$K:$K,Database!$D:$D,Analysis!O$13,Database!$E:$E,Analysis!O$14)</f>
        <v>135501.93</v>
      </c>
      <c r="P17" s="14">
        <f>+SUMIFS(Database!$K:$K,Database!$D:$D,Analysis!P$13,Database!$E:$E,Analysis!P$14)</f>
        <v>133343.61000000002</v>
      </c>
    </row>
    <row r="18" spans="3:16" ht="12" x14ac:dyDescent="0.25">
      <c r="J18" s="12" t="s">
        <v>26</v>
      </c>
      <c r="L18" s="20">
        <f>L17/L15</f>
        <v>0.40078834593913226</v>
      </c>
      <c r="M18" s="20">
        <f t="shared" ref="M18" si="0">M17/M15</f>
        <v>0.38629016497894042</v>
      </c>
      <c r="N18" s="20">
        <f t="shared" ref="N18" si="1">N17/N15</f>
        <v>0.39765326910664145</v>
      </c>
      <c r="O18" s="20">
        <f t="shared" ref="O18" si="2">O17/O15</f>
        <v>0.40963353043630524</v>
      </c>
      <c r="P18" s="20">
        <f t="shared" ref="P18" si="3">P17/P15</f>
        <v>0.34220835335846456</v>
      </c>
    </row>
    <row r="19" spans="3:16" ht="14.4" x14ac:dyDescent="0.3">
      <c r="J19" s="9"/>
    </row>
    <row r="20" spans="3:16" ht="14.4" x14ac:dyDescent="0.3">
      <c r="J20" s="18"/>
    </row>
    <row r="21" spans="3:16" ht="14.4" x14ac:dyDescent="0.3">
      <c r="J21" s="18"/>
    </row>
    <row r="22" spans="3:16" ht="12.6" thickBot="1" x14ac:dyDescent="0.3">
      <c r="L22" s="50">
        <v>2021</v>
      </c>
      <c r="M22" s="50">
        <v>2021</v>
      </c>
      <c r="N22" s="50">
        <v>2021</v>
      </c>
      <c r="O22" s="50">
        <v>2021</v>
      </c>
      <c r="P22" s="50">
        <v>2021</v>
      </c>
    </row>
    <row r="23" spans="3:16" ht="12.6" thickBot="1" x14ac:dyDescent="0.3">
      <c r="J23" s="46" t="s">
        <v>19</v>
      </c>
      <c r="K23" s="46"/>
      <c r="L23" s="46" t="s">
        <v>8</v>
      </c>
      <c r="M23" s="46" t="s">
        <v>9</v>
      </c>
      <c r="N23" s="46" t="s">
        <v>10</v>
      </c>
      <c r="O23" s="46" t="s">
        <v>11</v>
      </c>
      <c r="P23" s="46" t="s">
        <v>12</v>
      </c>
    </row>
    <row r="24" spans="3:16" ht="12" x14ac:dyDescent="0.25">
      <c r="J24" s="12" t="s">
        <v>3</v>
      </c>
      <c r="L24" s="14">
        <f>+SUMIFS(Database!$G:$G,Database!$D:$D,Analysis!L$22,Database!$E:$E,Analysis!L$23)</f>
        <v>130651.32999999999</v>
      </c>
      <c r="M24" s="14">
        <f>+SUMIFS(Database!$G:$G,Database!$D:$D,Analysis!M$22,Database!$E:$E,Analysis!M$23)</f>
        <v>165671.4</v>
      </c>
      <c r="N24" s="14">
        <f>+SUMIFS(Database!$G:$G,Database!$D:$D,Analysis!N$22,Database!$E:$E,Analysis!N$23)</f>
        <v>108894.21999999997</v>
      </c>
      <c r="O24" s="14">
        <f>+SUMIFS(Database!$G:$G,Database!$D:$D,Analysis!O$22,Database!$E:$E,Analysis!O$23)</f>
        <v>161321.93</v>
      </c>
      <c r="P24" s="14">
        <f>+SUMIFS(Database!$G:$G,Database!$D:$D,Analysis!P$22,Database!$E:$E,Analysis!P$23)</f>
        <v>131163.91999999998</v>
      </c>
    </row>
    <row r="25" spans="3:16" ht="12" x14ac:dyDescent="0.25">
      <c r="J25" s="12" t="s">
        <v>20</v>
      </c>
      <c r="L25" s="14">
        <f>+SUMIFS(Database!$H:$H,Database!$D:$D,Analysis!L$22,Database!$E:$E,Analysis!L$23)</f>
        <v>86264.37</v>
      </c>
      <c r="M25" s="14">
        <f>+SUMIFS(Database!$H:$H,Database!$D:$D,Analysis!M$22,Database!$E:$E,Analysis!M$23)</f>
        <v>96159.310000000012</v>
      </c>
      <c r="N25" s="14">
        <f>+SUMIFS(Database!$H:$H,Database!$D:$D,Analysis!N$22,Database!$E:$E,Analysis!N$23)</f>
        <v>58521.570000000007</v>
      </c>
      <c r="O25" s="14">
        <f>+SUMIFS(Database!$H:$H,Database!$D:$D,Analysis!O$22,Database!$E:$E,Analysis!O$23)</f>
        <v>96404.930000000008</v>
      </c>
      <c r="P25" s="14">
        <f>+SUMIFS(Database!$H:$H,Database!$D:$D,Analysis!P$22,Database!$E:$E,Analysis!P$23)</f>
        <v>82868.610000000015</v>
      </c>
    </row>
    <row r="26" spans="3:16" ht="12" x14ac:dyDescent="0.25">
      <c r="J26" s="12" t="s">
        <v>7</v>
      </c>
      <c r="L26" s="14">
        <f>+SUMIFS(Database!$K:$K,Database!$D:$D,Analysis!L$22,Database!$E:$E,Analysis!L$23)</f>
        <v>44386.96</v>
      </c>
      <c r="M26" s="14">
        <f>+SUMIFS(Database!$K:$K,Database!$D:$D,Analysis!M$22,Database!$E:$E,Analysis!M$23)</f>
        <v>69512.090000000026</v>
      </c>
      <c r="N26" s="14">
        <f>+SUMIFS(Database!$K:$K,Database!$D:$D,Analysis!N$22,Database!$E:$E,Analysis!N$23)</f>
        <v>50372.649999999987</v>
      </c>
      <c r="O26" s="14">
        <f>+SUMIFS(Database!$K:$K,Database!$D:$D,Analysis!O$22,Database!$E:$E,Analysis!O$23)</f>
        <v>64916.999999999985</v>
      </c>
      <c r="P26" s="14">
        <f>+SUMIFS(Database!$K:$K,Database!$D:$D,Analysis!P$22,Database!$E:$E,Analysis!P$23)</f>
        <v>48295.31</v>
      </c>
    </row>
    <row r="27" spans="3:16" ht="12" x14ac:dyDescent="0.25">
      <c r="J27" s="12" t="s">
        <v>26</v>
      </c>
      <c r="L27" s="20">
        <f>L26/L24</f>
        <v>0.33973599809508259</v>
      </c>
      <c r="M27" s="20">
        <f t="shared" ref="M27:P27" si="4">M26/M24</f>
        <v>0.41957809253739647</v>
      </c>
      <c r="N27" s="20">
        <f t="shared" si="4"/>
        <v>0.4625833216859444</v>
      </c>
      <c r="O27" s="20">
        <f t="shared" si="4"/>
        <v>0.40240654199959042</v>
      </c>
      <c r="P27" s="20">
        <f t="shared" si="4"/>
        <v>0.36820575353344126</v>
      </c>
    </row>
    <row r="28" spans="3:16" ht="14.4" x14ac:dyDescent="0.3">
      <c r="J28" s="18"/>
    </row>
    <row r="29" spans="3:16" ht="14.4" x14ac:dyDescent="0.3">
      <c r="J29" s="18"/>
      <c r="N29" s="21"/>
      <c r="O29" s="21"/>
      <c r="P29" s="21"/>
    </row>
    <row r="30" spans="3:16" ht="14.4" x14ac:dyDescent="0.3">
      <c r="J30" s="18"/>
    </row>
    <row r="31" spans="3:16" ht="12" x14ac:dyDescent="0.25">
      <c r="J31" s="53" t="s">
        <v>1</v>
      </c>
      <c r="K31" s="53" t="s">
        <v>28</v>
      </c>
      <c r="L31" s="53" t="s">
        <v>29</v>
      </c>
      <c r="M31" s="54" t="s">
        <v>30</v>
      </c>
    </row>
    <row r="32" spans="3:16" ht="14.4" x14ac:dyDescent="0.3">
      <c r="C32" s="53" t="s">
        <v>2</v>
      </c>
      <c r="D32" s="53" t="s">
        <v>28</v>
      </c>
      <c r="E32" s="53" t="s">
        <v>29</v>
      </c>
      <c r="F32" s="54" t="s">
        <v>30</v>
      </c>
      <c r="J32" s="51" t="s">
        <v>10</v>
      </c>
      <c r="K32" s="32">
        <v>492834.27999999997</v>
      </c>
      <c r="L32" s="32">
        <v>203047.67</v>
      </c>
      <c r="M32" s="52">
        <v>0.20667987872306953</v>
      </c>
      <c r="O32" s="21"/>
    </row>
    <row r="33" spans="3:15" ht="14.4" x14ac:dyDescent="0.3">
      <c r="C33" s="41" t="s">
        <v>15</v>
      </c>
      <c r="D33" s="30">
        <v>728198.57999999984</v>
      </c>
      <c r="E33" s="30">
        <v>287535.43999999994</v>
      </c>
      <c r="F33" s="31">
        <v>0.29267900423474164</v>
      </c>
      <c r="J33" s="51" t="s">
        <v>9</v>
      </c>
      <c r="K33" s="32">
        <v>462868.12000000005</v>
      </c>
      <c r="L33" s="32">
        <v>184316.25999999998</v>
      </c>
      <c r="M33" s="52">
        <v>0.18761339277367597</v>
      </c>
    </row>
    <row r="34" spans="3:15" ht="14.4" x14ac:dyDescent="0.3">
      <c r="C34" s="42" t="s">
        <v>13</v>
      </c>
      <c r="D34" s="44">
        <v>636112.12</v>
      </c>
      <c r="E34" s="44">
        <v>246036.00000000003</v>
      </c>
      <c r="F34" s="45">
        <v>0.25043720344837811</v>
      </c>
      <c r="J34" s="51" t="s">
        <v>11</v>
      </c>
      <c r="K34" s="32">
        <v>492110.11000000004</v>
      </c>
      <c r="L34" s="32">
        <v>200418.92999999996</v>
      </c>
      <c r="M34" s="52">
        <v>0.20400411463085172</v>
      </c>
    </row>
    <row r="35" spans="3:15" ht="14.4" x14ac:dyDescent="0.3">
      <c r="C35" s="42" t="s">
        <v>16</v>
      </c>
      <c r="D35" s="44">
        <v>643812.02</v>
      </c>
      <c r="E35" s="44">
        <v>269817.18</v>
      </c>
      <c r="F35" s="45">
        <v>0.27464379197161248</v>
      </c>
      <c r="J35" s="51" t="s">
        <v>12</v>
      </c>
      <c r="K35" s="32">
        <v>520820.12999999995</v>
      </c>
      <c r="L35" s="32">
        <v>181638.92000000007</v>
      </c>
      <c r="M35" s="52">
        <v>0.18488815930263736</v>
      </c>
    </row>
    <row r="36" spans="3:15" ht="15" thickBot="1" x14ac:dyDescent="0.35">
      <c r="C36" s="42" t="s">
        <v>14</v>
      </c>
      <c r="D36" s="44">
        <v>511875.02999999985</v>
      </c>
      <c r="E36" s="44">
        <v>179037.30000000002</v>
      </c>
      <c r="F36" s="45">
        <v>0.1822400003452678</v>
      </c>
      <c r="J36" s="51" t="s">
        <v>8</v>
      </c>
      <c r="K36" s="32">
        <v>551365.1100000001</v>
      </c>
      <c r="L36" s="32">
        <v>213004.14</v>
      </c>
      <c r="M36" s="52">
        <v>0.21681445456976542</v>
      </c>
    </row>
    <row r="37" spans="3:15" ht="15.6" thickTop="1" thickBot="1" x14ac:dyDescent="0.35">
      <c r="C37" s="43" t="s">
        <v>27</v>
      </c>
      <c r="D37" s="25">
        <v>2519997.7499999995</v>
      </c>
      <c r="E37" s="25">
        <v>982425.91999999993</v>
      </c>
      <c r="F37" s="33">
        <v>1</v>
      </c>
      <c r="J37" s="43" t="s">
        <v>27</v>
      </c>
      <c r="K37" s="25">
        <v>2519997.75</v>
      </c>
      <c r="L37" s="25">
        <v>982425.92</v>
      </c>
      <c r="M37" s="33">
        <v>1</v>
      </c>
    </row>
    <row r="38" spans="3:15" ht="15" thickTop="1" x14ac:dyDescent="0.3">
      <c r="J38" s="9"/>
      <c r="K38" s="9"/>
      <c r="L38" s="9"/>
    </row>
    <row r="39" spans="3:15" ht="14.4" x14ac:dyDescent="0.3">
      <c r="J39" s="9"/>
      <c r="K39" s="9"/>
      <c r="L39" s="9"/>
    </row>
    <row r="40" spans="3:15" ht="12.6" thickBot="1" x14ac:dyDescent="0.3">
      <c r="C40" s="50"/>
      <c r="D40" s="50"/>
      <c r="E40" s="49" t="s">
        <v>59</v>
      </c>
      <c r="F40" s="50"/>
      <c r="G40" s="50"/>
      <c r="H40" s="55"/>
      <c r="J40" s="50"/>
      <c r="K40" s="50"/>
      <c r="L40" s="49" t="s">
        <v>58</v>
      </c>
      <c r="M40" s="50"/>
      <c r="N40" s="50"/>
      <c r="O40" s="55"/>
    </row>
    <row r="41" spans="3:15" ht="14.4" x14ac:dyDescent="0.3">
      <c r="J41" s="9"/>
      <c r="K41" s="9"/>
      <c r="L41" s="9"/>
    </row>
    <row r="42" spans="3:15" ht="14.4" x14ac:dyDescent="0.3">
      <c r="J42" s="9"/>
      <c r="K42" s="9"/>
      <c r="L42" s="9"/>
    </row>
    <row r="43" spans="3:15" ht="14.4" x14ac:dyDescent="0.3">
      <c r="J43" s="9"/>
      <c r="K43" s="9"/>
      <c r="L43" s="9"/>
    </row>
    <row r="44" spans="3:15" ht="14.4" x14ac:dyDescent="0.3">
      <c r="J44" s="9"/>
      <c r="K44" s="9"/>
      <c r="L44" s="9"/>
    </row>
    <row r="45" spans="3:15" ht="14.4" x14ac:dyDescent="0.3">
      <c r="J45" s="9"/>
      <c r="K45" s="9"/>
      <c r="L45" s="9"/>
    </row>
    <row r="46" spans="3:15" ht="14.4" x14ac:dyDescent="0.3">
      <c r="J46" s="9"/>
      <c r="K46" s="9"/>
      <c r="L46" s="9"/>
    </row>
    <row r="47" spans="3:15" ht="14.4" x14ac:dyDescent="0.3">
      <c r="J47" s="9"/>
      <c r="K47" s="9"/>
      <c r="L47" s="9"/>
    </row>
    <row r="48" spans="3:15" ht="14.4" x14ac:dyDescent="0.3">
      <c r="J48" s="9"/>
      <c r="K48" s="9"/>
      <c r="L48" s="9"/>
    </row>
    <row r="49" spans="10:10" ht="14.4" x14ac:dyDescent="0.3">
      <c r="J49" s="9"/>
    </row>
    <row r="50" spans="10:10" ht="14.4" x14ac:dyDescent="0.3">
      <c r="J50" s="9"/>
    </row>
    <row r="51" spans="10:10" ht="14.4" x14ac:dyDescent="0.3">
      <c r="J51" s="9"/>
    </row>
    <row r="52" spans="10:10" ht="14.4" x14ac:dyDescent="0.3">
      <c r="J52" s="9"/>
    </row>
    <row r="53" spans="10:10" ht="14.4" x14ac:dyDescent="0.3">
      <c r="J53" s="9"/>
    </row>
    <row r="54" spans="10:10" ht="14.4" x14ac:dyDescent="0.3">
      <c r="J54" s="9"/>
    </row>
    <row r="55" spans="10:10" ht="14.4" x14ac:dyDescent="0.3">
      <c r="J55" s="9"/>
    </row>
    <row r="56" spans="10:10" ht="14.4" x14ac:dyDescent="0.3">
      <c r="J56" s="9"/>
    </row>
    <row r="57" spans="10:10" ht="14.4" x14ac:dyDescent="0.3">
      <c r="J57" s="9"/>
    </row>
  </sheetData>
  <conditionalFormatting pivot="1" sqref="F33:F3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{A6409069-09FD-421E-A60D-E8A0342D468E}</x14:id>
        </ext>
      </extLst>
    </cfRule>
  </conditionalFormatting>
  <conditionalFormatting pivot="1" sqref="M32:M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{973D3699-F565-417F-9D08-86A2FB5040CE}</x14:id>
        </ext>
      </extLst>
    </cfRule>
  </conditionalFormatting>
  <pageMargins left="0.7" right="0.7" top="0.75" bottom="0.75" header="0.3" footer="0.3"/>
  <pageSetup paperSize="9" scale="63" fitToWidth="0" orientation="landscape" horizontalDpi="300" verticalDpi="300" r:id="rId3"/>
  <ignoredErrors>
    <ignoredError sqref="L16" formula="1"/>
  </ignoredError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6409069-09FD-421E-A60D-E8A0342D4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F33:F36</xm:sqref>
        </x14:conditionalFormatting>
        <x14:conditionalFormatting xmlns:xm="http://schemas.microsoft.com/office/excel/2006/main" pivot="1">
          <x14:cfRule type="dataBar" id="{973D3699-F565-417F-9D08-86A2FB5040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M32:M36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2E1A-BAE3-4DD7-A22F-37F11773BABF}">
  <dimension ref="B4:O504"/>
  <sheetViews>
    <sheetView workbookViewId="0">
      <selection activeCell="R8" sqref="R8"/>
    </sheetView>
  </sheetViews>
  <sheetFormatPr defaultRowHeight="14.4" x14ac:dyDescent="0.3"/>
  <cols>
    <col min="1" max="1" width="8.88671875" style="9" customWidth="1"/>
    <col min="2" max="2" width="9.109375" style="3" bestFit="1" customWidth="1"/>
    <col min="3" max="3" width="7.21875" style="3" bestFit="1" customWidth="1"/>
    <col min="4" max="4" width="10.77734375" style="13" customWidth="1"/>
    <col min="5" max="6" width="9" style="9" customWidth="1"/>
    <col min="7" max="7" width="9.109375" style="3" bestFit="1" customWidth="1"/>
    <col min="8" max="8" width="10" style="19" bestFit="1" customWidth="1"/>
    <col min="9" max="9" width="10.77734375" style="4" bestFit="1" customWidth="1"/>
    <col min="10" max="12" width="9" style="9" customWidth="1"/>
    <col min="13" max="13" width="9" style="3" bestFit="1" customWidth="1"/>
    <col min="14" max="14" width="19.44140625" style="4" bestFit="1" customWidth="1"/>
    <col min="15" max="15" width="10.77734375" style="4" bestFit="1" customWidth="1"/>
    <col min="16" max="16384" width="8.88671875" style="9"/>
  </cols>
  <sheetData>
    <row r="4" spans="2:15" ht="15" thickBot="1" x14ac:dyDescent="0.35">
      <c r="B4" s="23" t="s">
        <v>3</v>
      </c>
      <c r="C4" s="23" t="s">
        <v>4</v>
      </c>
      <c r="D4" s="24" t="s">
        <v>31</v>
      </c>
      <c r="G4" s="23" t="s">
        <v>3</v>
      </c>
      <c r="H4" s="23" t="s">
        <v>5</v>
      </c>
      <c r="I4" s="8" t="s">
        <v>31</v>
      </c>
      <c r="M4" s="7" t="s">
        <v>3</v>
      </c>
      <c r="N4" s="8" t="s">
        <v>6</v>
      </c>
      <c r="O4" s="7" t="s">
        <v>31</v>
      </c>
    </row>
    <row r="5" spans="2:15" x14ac:dyDescent="0.3">
      <c r="B5" s="3">
        <v>7284.69</v>
      </c>
      <c r="C5" s="3">
        <v>2198.6999999999998</v>
      </c>
      <c r="D5" s="13">
        <f>CORREL(B:B,C:C)</f>
        <v>6.5012103659528184E-2</v>
      </c>
      <c r="G5" s="3">
        <v>7284.69</v>
      </c>
      <c r="H5" s="19">
        <v>89</v>
      </c>
      <c r="I5" s="4">
        <f>CORREL(G:G,H:H)</f>
        <v>3.8053357728979893E-2</v>
      </c>
      <c r="M5" s="3">
        <v>7284.69</v>
      </c>
      <c r="N5" s="4">
        <v>3.42</v>
      </c>
      <c r="O5" s="4">
        <f>CORREL(M:M,N:N)</f>
        <v>2.9514503505282425E-2</v>
      </c>
    </row>
    <row r="6" spans="2:15" x14ac:dyDescent="0.3">
      <c r="B6" s="3">
        <v>5808.37</v>
      </c>
      <c r="C6" s="3">
        <v>2775.12</v>
      </c>
      <c r="D6" s="13">
        <f t="shared" ref="D6:D69" si="0">CORREL(B:B,C:C)</f>
        <v>6.5012103659528184E-2</v>
      </c>
      <c r="G6" s="3">
        <v>5808.37</v>
      </c>
      <c r="H6" s="19">
        <v>67</v>
      </c>
      <c r="I6" s="4">
        <f t="shared" ref="I6:I69" si="1">CORREL(G:G,H:H)</f>
        <v>3.8053357728979893E-2</v>
      </c>
      <c r="M6" s="3">
        <v>5808.37</v>
      </c>
      <c r="N6" s="4">
        <v>4.63</v>
      </c>
      <c r="O6" s="4">
        <f t="shared" ref="O6:O69" si="2">CORREL(M:M,N:N)</f>
        <v>2.9514503505282425E-2</v>
      </c>
    </row>
    <row r="7" spans="2:15" x14ac:dyDescent="0.3">
      <c r="B7" s="3">
        <v>3444.13</v>
      </c>
      <c r="C7" s="3">
        <v>4438.1499999999996</v>
      </c>
      <c r="D7" s="13">
        <f t="shared" si="0"/>
        <v>6.5012103659528184E-2</v>
      </c>
      <c r="G7" s="3">
        <v>3444.13</v>
      </c>
      <c r="H7" s="19">
        <v>64</v>
      </c>
      <c r="I7" s="4">
        <f t="shared" si="1"/>
        <v>3.8053357728979893E-2</v>
      </c>
      <c r="M7" s="3">
        <v>3444.13</v>
      </c>
      <c r="N7" s="4">
        <v>1.96</v>
      </c>
      <c r="O7" s="4">
        <f t="shared" si="2"/>
        <v>2.9514503505282425E-2</v>
      </c>
    </row>
    <row r="8" spans="2:15" x14ac:dyDescent="0.3">
      <c r="B8" s="3">
        <v>4714.49</v>
      </c>
      <c r="C8" s="3">
        <v>3512.67</v>
      </c>
      <c r="D8" s="13">
        <f t="shared" si="0"/>
        <v>6.5012103659528184E-2</v>
      </c>
      <c r="G8" s="3">
        <v>4714.49</v>
      </c>
      <c r="H8" s="19">
        <v>13</v>
      </c>
      <c r="I8" s="4">
        <f t="shared" si="1"/>
        <v>3.8053357728979893E-2</v>
      </c>
      <c r="M8" s="3">
        <v>4714.49</v>
      </c>
      <c r="N8" s="4">
        <v>2.88</v>
      </c>
      <c r="O8" s="4">
        <f t="shared" si="2"/>
        <v>2.9514503505282425E-2</v>
      </c>
    </row>
    <row r="9" spans="2:15" x14ac:dyDescent="0.3">
      <c r="B9" s="3">
        <v>3686.57</v>
      </c>
      <c r="C9" s="3">
        <v>2543.06</v>
      </c>
      <c r="D9" s="13">
        <f t="shared" si="0"/>
        <v>6.5012103659528184E-2</v>
      </c>
      <c r="G9" s="3">
        <v>3686.57</v>
      </c>
      <c r="H9" s="19">
        <v>33</v>
      </c>
      <c r="I9" s="4">
        <f t="shared" si="1"/>
        <v>3.8053357728979893E-2</v>
      </c>
      <c r="M9" s="3">
        <v>3686.57</v>
      </c>
      <c r="N9" s="4">
        <v>2.8</v>
      </c>
      <c r="O9" s="4">
        <f t="shared" si="2"/>
        <v>2.9514503505282425E-2</v>
      </c>
    </row>
    <row r="10" spans="2:15" x14ac:dyDescent="0.3">
      <c r="B10" s="3">
        <v>2925.8</v>
      </c>
      <c r="C10" s="3">
        <v>3458.07</v>
      </c>
      <c r="D10" s="13">
        <f t="shared" si="0"/>
        <v>6.5012103659528184E-2</v>
      </c>
      <c r="G10" s="3">
        <v>2925.8</v>
      </c>
      <c r="H10" s="19">
        <v>43</v>
      </c>
      <c r="I10" s="4">
        <f t="shared" si="1"/>
        <v>3.8053357728979893E-2</v>
      </c>
      <c r="M10" s="3">
        <v>2925.8</v>
      </c>
      <c r="N10" s="4">
        <v>2.89</v>
      </c>
      <c r="O10" s="4">
        <f t="shared" si="2"/>
        <v>2.9514503505282425E-2</v>
      </c>
    </row>
    <row r="11" spans="2:15" x14ac:dyDescent="0.3">
      <c r="B11" s="3">
        <v>6389.27</v>
      </c>
      <c r="C11" s="3">
        <v>4119.4799999999996</v>
      </c>
      <c r="D11" s="13">
        <f t="shared" si="0"/>
        <v>6.5012103659528184E-2</v>
      </c>
      <c r="G11" s="3">
        <v>6389.27</v>
      </c>
      <c r="H11" s="19">
        <v>39</v>
      </c>
      <c r="I11" s="4">
        <f t="shared" si="1"/>
        <v>3.8053357728979893E-2</v>
      </c>
      <c r="M11" s="3">
        <v>6389.27</v>
      </c>
      <c r="N11" s="4">
        <v>3.49</v>
      </c>
      <c r="O11" s="4">
        <f t="shared" si="2"/>
        <v>2.9514503505282425E-2</v>
      </c>
    </row>
    <row r="12" spans="2:15" x14ac:dyDescent="0.3">
      <c r="B12" s="3">
        <v>7864.12</v>
      </c>
      <c r="C12" s="3">
        <v>3739.71</v>
      </c>
      <c r="D12" s="13">
        <f t="shared" si="0"/>
        <v>6.5012103659528184E-2</v>
      </c>
      <c r="G12" s="3">
        <v>7864.12</v>
      </c>
      <c r="H12" s="19">
        <v>91</v>
      </c>
      <c r="I12" s="4">
        <f t="shared" si="1"/>
        <v>3.8053357728979893E-2</v>
      </c>
      <c r="M12" s="3">
        <v>7864.12</v>
      </c>
      <c r="N12" s="4">
        <v>2.88</v>
      </c>
      <c r="O12" s="4">
        <f t="shared" si="2"/>
        <v>2.9514503505282425E-2</v>
      </c>
    </row>
    <row r="13" spans="2:15" x14ac:dyDescent="0.3">
      <c r="B13" s="3">
        <v>2902.15</v>
      </c>
      <c r="C13" s="3">
        <v>3047.7</v>
      </c>
      <c r="D13" s="13">
        <f t="shared" si="0"/>
        <v>6.5012103659528184E-2</v>
      </c>
      <c r="G13" s="3">
        <v>2902.15</v>
      </c>
      <c r="H13" s="19">
        <v>28</v>
      </c>
      <c r="I13" s="4">
        <f t="shared" si="1"/>
        <v>3.8053357728979893E-2</v>
      </c>
      <c r="M13" s="3">
        <v>2902.15</v>
      </c>
      <c r="N13" s="4">
        <v>2.79</v>
      </c>
      <c r="O13" s="4">
        <f t="shared" si="2"/>
        <v>2.9514503505282425E-2</v>
      </c>
    </row>
    <row r="14" spans="2:15" x14ac:dyDescent="0.3">
      <c r="B14" s="3">
        <v>5844.45</v>
      </c>
      <c r="C14" s="3">
        <v>2482.4499999999998</v>
      </c>
      <c r="D14" s="13">
        <f t="shared" si="0"/>
        <v>6.5012103659528184E-2</v>
      </c>
      <c r="G14" s="3">
        <v>5844.45</v>
      </c>
      <c r="H14" s="19">
        <v>40</v>
      </c>
      <c r="I14" s="4">
        <f t="shared" si="1"/>
        <v>3.8053357728979893E-2</v>
      </c>
      <c r="M14" s="3">
        <v>5844.45</v>
      </c>
      <c r="N14" s="4">
        <v>2.9</v>
      </c>
      <c r="O14" s="4">
        <f t="shared" si="2"/>
        <v>2.9514503505282425E-2</v>
      </c>
    </row>
    <row r="15" spans="2:15" x14ac:dyDescent="0.3">
      <c r="B15" s="3">
        <v>4024.04</v>
      </c>
      <c r="C15" s="3">
        <v>3558.58</v>
      </c>
      <c r="D15" s="13">
        <f t="shared" si="0"/>
        <v>6.5012103659528184E-2</v>
      </c>
      <c r="G15" s="3">
        <v>4024.04</v>
      </c>
      <c r="H15" s="19">
        <v>69</v>
      </c>
      <c r="I15" s="4">
        <f t="shared" si="1"/>
        <v>3.8053357728979893E-2</v>
      </c>
      <c r="M15" s="3">
        <v>4024.04</v>
      </c>
      <c r="N15" s="4">
        <v>3.36</v>
      </c>
      <c r="O15" s="4">
        <f t="shared" si="2"/>
        <v>2.9514503505282425E-2</v>
      </c>
    </row>
    <row r="16" spans="2:15" x14ac:dyDescent="0.3">
      <c r="B16" s="3">
        <v>4269.3100000000004</v>
      </c>
      <c r="C16" s="3">
        <v>3314.79</v>
      </c>
      <c r="D16" s="13">
        <f t="shared" si="0"/>
        <v>6.5012103659528184E-2</v>
      </c>
      <c r="G16" s="3">
        <v>4269.3100000000004</v>
      </c>
      <c r="H16" s="19">
        <v>69</v>
      </c>
      <c r="I16" s="4">
        <f t="shared" si="1"/>
        <v>3.8053357728979893E-2</v>
      </c>
      <c r="M16" s="3">
        <v>4269.3100000000004</v>
      </c>
      <c r="N16" s="4">
        <v>3.15</v>
      </c>
      <c r="O16" s="4">
        <f t="shared" si="2"/>
        <v>2.9514503505282425E-2</v>
      </c>
    </row>
    <row r="17" spans="2:15" x14ac:dyDescent="0.3">
      <c r="B17" s="3">
        <v>4111.41</v>
      </c>
      <c r="C17" s="3">
        <v>3716.15</v>
      </c>
      <c r="D17" s="13">
        <f t="shared" si="0"/>
        <v>6.5012103659528184E-2</v>
      </c>
      <c r="G17" s="3">
        <v>4111.41</v>
      </c>
      <c r="H17" s="19">
        <v>28</v>
      </c>
      <c r="I17" s="4">
        <f t="shared" si="1"/>
        <v>3.8053357728979893E-2</v>
      </c>
      <c r="M17" s="3">
        <v>4111.41</v>
      </c>
      <c r="N17" s="4">
        <v>4.42</v>
      </c>
      <c r="O17" s="4">
        <f t="shared" si="2"/>
        <v>2.9514503505282425E-2</v>
      </c>
    </row>
    <row r="18" spans="2:15" x14ac:dyDescent="0.3">
      <c r="B18" s="3">
        <v>3704.01</v>
      </c>
      <c r="C18" s="3">
        <v>3508.14</v>
      </c>
      <c r="D18" s="13">
        <f t="shared" si="0"/>
        <v>6.5012103659528184E-2</v>
      </c>
      <c r="G18" s="3">
        <v>3704.01</v>
      </c>
      <c r="H18" s="19">
        <v>58</v>
      </c>
      <c r="I18" s="4">
        <f t="shared" si="1"/>
        <v>3.8053357728979893E-2</v>
      </c>
      <c r="M18" s="3">
        <v>3704.01</v>
      </c>
      <c r="N18" s="4">
        <v>1.2</v>
      </c>
      <c r="O18" s="4">
        <f t="shared" si="2"/>
        <v>2.9514503505282425E-2</v>
      </c>
    </row>
    <row r="19" spans="2:15" x14ac:dyDescent="0.3">
      <c r="B19" s="3">
        <v>5072.78</v>
      </c>
      <c r="C19" s="3">
        <v>3839.64</v>
      </c>
      <c r="D19" s="13">
        <f t="shared" si="0"/>
        <v>6.5012103659528184E-2</v>
      </c>
      <c r="G19" s="3">
        <v>5072.78</v>
      </c>
      <c r="H19" s="19">
        <v>72</v>
      </c>
      <c r="I19" s="4">
        <f t="shared" si="1"/>
        <v>3.8053357728979893E-2</v>
      </c>
      <c r="M19" s="3">
        <v>5072.78</v>
      </c>
      <c r="N19" s="4">
        <v>4.33</v>
      </c>
      <c r="O19" s="4">
        <f t="shared" si="2"/>
        <v>2.9514503505282425E-2</v>
      </c>
    </row>
    <row r="20" spans="2:15" x14ac:dyDescent="0.3">
      <c r="B20" s="3">
        <v>3753.57</v>
      </c>
      <c r="C20" s="3">
        <v>2571.81</v>
      </c>
      <c r="D20" s="13">
        <f t="shared" si="0"/>
        <v>6.5012103659528184E-2</v>
      </c>
      <c r="G20" s="3">
        <v>3753.57</v>
      </c>
      <c r="H20" s="19">
        <v>92</v>
      </c>
      <c r="I20" s="4">
        <f t="shared" si="1"/>
        <v>3.8053357728979893E-2</v>
      </c>
      <c r="M20" s="3">
        <v>3753.57</v>
      </c>
      <c r="N20" s="4">
        <v>4.38</v>
      </c>
      <c r="O20" s="4">
        <f t="shared" si="2"/>
        <v>2.9514503505282425E-2</v>
      </c>
    </row>
    <row r="21" spans="2:15" x14ac:dyDescent="0.3">
      <c r="B21" s="3">
        <v>5405.69</v>
      </c>
      <c r="C21" s="3">
        <v>4053.92</v>
      </c>
      <c r="D21" s="13">
        <f t="shared" si="0"/>
        <v>6.5012103659528184E-2</v>
      </c>
      <c r="G21" s="3">
        <v>5405.69</v>
      </c>
      <c r="H21" s="19">
        <v>31</v>
      </c>
      <c r="I21" s="4">
        <f t="shared" si="1"/>
        <v>3.8053357728979893E-2</v>
      </c>
      <c r="M21" s="3">
        <v>5405.69</v>
      </c>
      <c r="N21" s="4">
        <v>2.14</v>
      </c>
      <c r="O21" s="4">
        <f t="shared" si="2"/>
        <v>2.9514503505282425E-2</v>
      </c>
    </row>
    <row r="22" spans="2:15" x14ac:dyDescent="0.3">
      <c r="B22" s="3">
        <v>4924.6400000000003</v>
      </c>
      <c r="C22" s="3">
        <v>3158.08</v>
      </c>
      <c r="D22" s="13">
        <f t="shared" si="0"/>
        <v>6.5012103659528184E-2</v>
      </c>
      <c r="G22" s="3">
        <v>4924.6400000000003</v>
      </c>
      <c r="H22" s="19">
        <v>33</v>
      </c>
      <c r="I22" s="4">
        <f t="shared" si="1"/>
        <v>3.8053357728979893E-2</v>
      </c>
      <c r="M22" s="3">
        <v>4924.6400000000003</v>
      </c>
      <c r="N22" s="4">
        <v>2.85</v>
      </c>
      <c r="O22" s="4">
        <f t="shared" si="2"/>
        <v>2.9514503505282425E-2</v>
      </c>
    </row>
    <row r="23" spans="2:15" x14ac:dyDescent="0.3">
      <c r="B23" s="3">
        <v>4641.58</v>
      </c>
      <c r="C23" s="3">
        <v>4660.21</v>
      </c>
      <c r="D23" s="13">
        <f t="shared" si="0"/>
        <v>6.5012103659528184E-2</v>
      </c>
      <c r="G23" s="3">
        <v>4641.58</v>
      </c>
      <c r="H23" s="19">
        <v>85</v>
      </c>
      <c r="I23" s="4">
        <f t="shared" si="1"/>
        <v>3.8053357728979893E-2</v>
      </c>
      <c r="M23" s="3">
        <v>4641.58</v>
      </c>
      <c r="N23" s="4">
        <v>2.75</v>
      </c>
      <c r="O23" s="4">
        <f t="shared" si="2"/>
        <v>2.9514503505282425E-2</v>
      </c>
    </row>
    <row r="24" spans="2:15" x14ac:dyDescent="0.3">
      <c r="B24" s="3">
        <v>3638.65</v>
      </c>
      <c r="C24" s="3">
        <v>2448.65</v>
      </c>
      <c r="D24" s="13">
        <f t="shared" si="0"/>
        <v>6.5012103659528184E-2</v>
      </c>
      <c r="G24" s="3">
        <v>3638.65</v>
      </c>
      <c r="H24" s="19">
        <v>39</v>
      </c>
      <c r="I24" s="4">
        <f t="shared" si="1"/>
        <v>3.8053357728979893E-2</v>
      </c>
      <c r="M24" s="3">
        <v>3638.65</v>
      </c>
      <c r="N24" s="4">
        <v>1.87</v>
      </c>
      <c r="O24" s="4">
        <f t="shared" si="2"/>
        <v>2.9514503505282425E-2</v>
      </c>
    </row>
    <row r="25" spans="2:15" x14ac:dyDescent="0.3">
      <c r="B25" s="3">
        <v>4134.84</v>
      </c>
      <c r="C25" s="3">
        <v>4388.7700000000004</v>
      </c>
      <c r="D25" s="13">
        <f t="shared" si="0"/>
        <v>6.5012103659528184E-2</v>
      </c>
      <c r="G25" s="3">
        <v>4134.84</v>
      </c>
      <c r="H25" s="19">
        <v>67</v>
      </c>
      <c r="I25" s="4">
        <f t="shared" si="1"/>
        <v>3.8053357728979893E-2</v>
      </c>
      <c r="M25" s="3">
        <v>4134.84</v>
      </c>
      <c r="N25" s="4">
        <v>2.59</v>
      </c>
      <c r="O25" s="4">
        <f t="shared" si="2"/>
        <v>2.9514503505282425E-2</v>
      </c>
    </row>
    <row r="26" spans="2:15" x14ac:dyDescent="0.3">
      <c r="B26" s="3">
        <v>6133.09</v>
      </c>
      <c r="C26" s="3">
        <v>3158.33</v>
      </c>
      <c r="D26" s="13">
        <f t="shared" si="0"/>
        <v>6.5012103659528184E-2</v>
      </c>
      <c r="G26" s="3">
        <v>6133.09</v>
      </c>
      <c r="H26" s="19">
        <v>40</v>
      </c>
      <c r="I26" s="4">
        <f t="shared" si="1"/>
        <v>3.8053357728979893E-2</v>
      </c>
      <c r="M26" s="3">
        <v>6133.09</v>
      </c>
      <c r="N26" s="4">
        <v>1.18</v>
      </c>
      <c r="O26" s="4">
        <f t="shared" si="2"/>
        <v>2.9514503505282425E-2</v>
      </c>
    </row>
    <row r="27" spans="2:15" x14ac:dyDescent="0.3">
      <c r="B27" s="3">
        <v>5751.38</v>
      </c>
      <c r="C27" s="3">
        <v>2478.87</v>
      </c>
      <c r="D27" s="13">
        <f t="shared" si="0"/>
        <v>6.5012103659528184E-2</v>
      </c>
      <c r="G27" s="3">
        <v>5751.38</v>
      </c>
      <c r="H27" s="19">
        <v>73</v>
      </c>
      <c r="I27" s="4">
        <f t="shared" si="1"/>
        <v>3.8053357728979893E-2</v>
      </c>
      <c r="M27" s="3">
        <v>5751.38</v>
      </c>
      <c r="N27" s="4">
        <v>2.11</v>
      </c>
      <c r="O27" s="4">
        <f t="shared" si="2"/>
        <v>2.9514503505282425E-2</v>
      </c>
    </row>
    <row r="28" spans="2:15" x14ac:dyDescent="0.3">
      <c r="B28" s="3">
        <v>3533.67</v>
      </c>
      <c r="C28" s="3">
        <v>2612.89</v>
      </c>
      <c r="D28" s="13">
        <f t="shared" si="0"/>
        <v>6.5012103659528184E-2</v>
      </c>
      <c r="G28" s="3">
        <v>3533.67</v>
      </c>
      <c r="H28" s="19">
        <v>28</v>
      </c>
      <c r="I28" s="4">
        <f t="shared" si="1"/>
        <v>3.8053357728979893E-2</v>
      </c>
      <c r="M28" s="3">
        <v>3533.67</v>
      </c>
      <c r="N28" s="4">
        <v>4.2699999999999996</v>
      </c>
      <c r="O28" s="4">
        <f t="shared" si="2"/>
        <v>2.9514503505282425E-2</v>
      </c>
    </row>
    <row r="29" spans="2:15" x14ac:dyDescent="0.3">
      <c r="B29" s="3">
        <v>5149</v>
      </c>
      <c r="C29" s="3">
        <v>2743.72</v>
      </c>
      <c r="D29" s="13">
        <f t="shared" si="0"/>
        <v>6.5012103659528184E-2</v>
      </c>
      <c r="G29" s="3">
        <v>5149</v>
      </c>
      <c r="H29" s="19">
        <v>57</v>
      </c>
      <c r="I29" s="4">
        <f t="shared" si="1"/>
        <v>3.8053357728979893E-2</v>
      </c>
      <c r="M29" s="3">
        <v>5149</v>
      </c>
      <c r="N29" s="4">
        <v>2.14</v>
      </c>
      <c r="O29" s="4">
        <f t="shared" si="2"/>
        <v>2.9514503505282425E-2</v>
      </c>
    </row>
    <row r="30" spans="2:15" x14ac:dyDescent="0.3">
      <c r="B30" s="3">
        <v>6127.08</v>
      </c>
      <c r="C30" s="3">
        <v>3339.33</v>
      </c>
      <c r="D30" s="13">
        <f t="shared" si="0"/>
        <v>6.5012103659528184E-2</v>
      </c>
      <c r="G30" s="3">
        <v>6127.08</v>
      </c>
      <c r="H30" s="19">
        <v>54</v>
      </c>
      <c r="I30" s="4">
        <f t="shared" si="1"/>
        <v>3.8053357728979893E-2</v>
      </c>
      <c r="M30" s="3">
        <v>6127.08</v>
      </c>
      <c r="N30" s="4">
        <v>4.2699999999999996</v>
      </c>
      <c r="O30" s="4">
        <f t="shared" si="2"/>
        <v>2.9514503505282425E-2</v>
      </c>
    </row>
    <row r="31" spans="2:15" x14ac:dyDescent="0.3">
      <c r="B31" s="3">
        <v>2495.89</v>
      </c>
      <c r="C31" s="3">
        <v>3418.27</v>
      </c>
      <c r="D31" s="13">
        <f t="shared" si="0"/>
        <v>6.5012103659528184E-2</v>
      </c>
      <c r="G31" s="3">
        <v>2495.89</v>
      </c>
      <c r="H31" s="19">
        <v>64</v>
      </c>
      <c r="I31" s="4">
        <f t="shared" si="1"/>
        <v>3.8053357728979893E-2</v>
      </c>
      <c r="M31" s="3">
        <v>2495.89</v>
      </c>
      <c r="N31" s="4">
        <v>3.13</v>
      </c>
      <c r="O31" s="4">
        <f t="shared" si="2"/>
        <v>2.9514503505282425E-2</v>
      </c>
    </row>
    <row r="32" spans="2:15" x14ac:dyDescent="0.3">
      <c r="B32" s="3">
        <v>5815.04</v>
      </c>
      <c r="C32" s="3">
        <v>2541.04</v>
      </c>
      <c r="D32" s="13">
        <f t="shared" si="0"/>
        <v>6.5012103659528184E-2</v>
      </c>
      <c r="G32" s="3">
        <v>5815.04</v>
      </c>
      <c r="H32" s="19">
        <v>64</v>
      </c>
      <c r="I32" s="4">
        <f t="shared" si="1"/>
        <v>3.8053357728979893E-2</v>
      </c>
      <c r="M32" s="3">
        <v>5815.04</v>
      </c>
      <c r="N32" s="4">
        <v>4.5199999999999996</v>
      </c>
      <c r="O32" s="4">
        <f t="shared" si="2"/>
        <v>2.9514503505282425E-2</v>
      </c>
    </row>
    <row r="33" spans="2:15" x14ac:dyDescent="0.3">
      <c r="B33" s="3">
        <v>4006.06</v>
      </c>
      <c r="C33" s="3">
        <v>2980.52</v>
      </c>
      <c r="D33" s="13">
        <f t="shared" si="0"/>
        <v>6.5012103659528184E-2</v>
      </c>
      <c r="G33" s="3">
        <v>4006.06</v>
      </c>
      <c r="H33" s="19">
        <v>27</v>
      </c>
      <c r="I33" s="4">
        <f t="shared" si="1"/>
        <v>3.8053357728979893E-2</v>
      </c>
      <c r="M33" s="3">
        <v>4006.06</v>
      </c>
      <c r="N33" s="4">
        <v>3.3</v>
      </c>
      <c r="O33" s="4">
        <f t="shared" si="2"/>
        <v>2.9514503505282425E-2</v>
      </c>
    </row>
    <row r="34" spans="2:15" x14ac:dyDescent="0.3">
      <c r="B34" s="3">
        <v>5855.9</v>
      </c>
      <c r="C34" s="3">
        <v>4713.82</v>
      </c>
      <c r="D34" s="13">
        <f t="shared" si="0"/>
        <v>6.5012103659528184E-2</v>
      </c>
      <c r="G34" s="3">
        <v>5855.9</v>
      </c>
      <c r="H34" s="19">
        <v>72</v>
      </c>
      <c r="I34" s="4">
        <f t="shared" si="1"/>
        <v>3.8053357728979893E-2</v>
      </c>
      <c r="M34" s="3">
        <v>5855.9</v>
      </c>
      <c r="N34" s="4">
        <v>1.1200000000000001</v>
      </c>
      <c r="O34" s="4">
        <f t="shared" si="2"/>
        <v>2.9514503505282425E-2</v>
      </c>
    </row>
    <row r="35" spans="2:15" x14ac:dyDescent="0.3">
      <c r="B35" s="3">
        <v>3855.11</v>
      </c>
      <c r="C35" s="3">
        <v>4382.03</v>
      </c>
      <c r="D35" s="13">
        <f t="shared" si="0"/>
        <v>6.5012103659528184E-2</v>
      </c>
      <c r="G35" s="3">
        <v>3855.11</v>
      </c>
      <c r="H35" s="19">
        <v>56</v>
      </c>
      <c r="I35" s="4">
        <f t="shared" si="1"/>
        <v>3.8053357728979893E-2</v>
      </c>
      <c r="M35" s="3">
        <v>3855.11</v>
      </c>
      <c r="N35" s="4">
        <v>3.7</v>
      </c>
      <c r="O35" s="4">
        <f t="shared" si="2"/>
        <v>2.9514503505282425E-2</v>
      </c>
    </row>
    <row r="36" spans="2:15" x14ac:dyDescent="0.3">
      <c r="B36" s="3">
        <v>2292.6799999999998</v>
      </c>
      <c r="C36" s="3">
        <v>3349.06</v>
      </c>
      <c r="D36" s="13">
        <f t="shared" si="0"/>
        <v>6.5012103659528184E-2</v>
      </c>
      <c r="G36" s="3">
        <v>2292.6799999999998</v>
      </c>
      <c r="H36" s="19">
        <v>84</v>
      </c>
      <c r="I36" s="4">
        <f t="shared" si="1"/>
        <v>3.8053357728979893E-2</v>
      </c>
      <c r="M36" s="3">
        <v>2292.6799999999998</v>
      </c>
      <c r="N36" s="4">
        <v>1.18</v>
      </c>
      <c r="O36" s="4">
        <f t="shared" si="2"/>
        <v>2.9514503505282425E-2</v>
      </c>
    </row>
    <row r="37" spans="2:15" x14ac:dyDescent="0.3">
      <c r="B37" s="3">
        <v>2558.69</v>
      </c>
      <c r="C37" s="3">
        <v>3030.4</v>
      </c>
      <c r="D37" s="13">
        <f t="shared" si="0"/>
        <v>6.5012103659528184E-2</v>
      </c>
      <c r="G37" s="3">
        <v>2558.69</v>
      </c>
      <c r="H37" s="19">
        <v>66</v>
      </c>
      <c r="I37" s="4">
        <f t="shared" si="1"/>
        <v>3.8053357728979893E-2</v>
      </c>
      <c r="M37" s="3">
        <v>2558.69</v>
      </c>
      <c r="N37" s="4">
        <v>2.8</v>
      </c>
      <c r="O37" s="4">
        <f t="shared" si="2"/>
        <v>2.9514503505282425E-2</v>
      </c>
    </row>
    <row r="38" spans="2:15" x14ac:dyDescent="0.3">
      <c r="B38" s="3">
        <v>5072.13</v>
      </c>
      <c r="C38" s="3">
        <v>3096.03</v>
      </c>
      <c r="D38" s="13">
        <f t="shared" si="0"/>
        <v>6.5012103659528184E-2</v>
      </c>
      <c r="G38" s="3">
        <v>5072.13</v>
      </c>
      <c r="H38" s="19">
        <v>54</v>
      </c>
      <c r="I38" s="4">
        <f t="shared" si="1"/>
        <v>3.8053357728979893E-2</v>
      </c>
      <c r="M38" s="3">
        <v>5072.13</v>
      </c>
      <c r="N38" s="4">
        <v>4.72</v>
      </c>
      <c r="O38" s="4">
        <f t="shared" si="2"/>
        <v>2.9514503505282425E-2</v>
      </c>
    </row>
    <row r="39" spans="2:15" x14ac:dyDescent="0.3">
      <c r="B39" s="3">
        <v>5389.58</v>
      </c>
      <c r="C39" s="3">
        <v>3490.81</v>
      </c>
      <c r="D39" s="13">
        <f t="shared" si="0"/>
        <v>6.5012103659528184E-2</v>
      </c>
      <c r="G39" s="3">
        <v>5389.58</v>
      </c>
      <c r="H39" s="19">
        <v>42</v>
      </c>
      <c r="I39" s="4">
        <f t="shared" si="1"/>
        <v>3.8053357728979893E-2</v>
      </c>
      <c r="M39" s="3">
        <v>5389.58</v>
      </c>
      <c r="N39" s="4">
        <v>1.66</v>
      </c>
      <c r="O39" s="4">
        <f t="shared" si="2"/>
        <v>2.9514503505282425E-2</v>
      </c>
    </row>
    <row r="40" spans="2:15" x14ac:dyDescent="0.3">
      <c r="B40" s="3">
        <v>3643.53</v>
      </c>
      <c r="C40" s="3">
        <v>2181.77</v>
      </c>
      <c r="D40" s="13">
        <f t="shared" si="0"/>
        <v>6.5012103659528184E-2</v>
      </c>
      <c r="G40" s="3">
        <v>3643.53</v>
      </c>
      <c r="H40" s="19">
        <v>26</v>
      </c>
      <c r="I40" s="4">
        <f t="shared" si="1"/>
        <v>3.8053357728979893E-2</v>
      </c>
      <c r="M40" s="3">
        <v>3643.53</v>
      </c>
      <c r="N40" s="4">
        <v>2.56</v>
      </c>
      <c r="O40" s="4">
        <f t="shared" si="2"/>
        <v>2.9514503505282425E-2</v>
      </c>
    </row>
    <row r="41" spans="2:15" x14ac:dyDescent="0.3">
      <c r="B41" s="3">
        <v>5957.89</v>
      </c>
      <c r="C41" s="3">
        <v>2794.1</v>
      </c>
      <c r="D41" s="13">
        <f t="shared" si="0"/>
        <v>6.5012103659528184E-2</v>
      </c>
      <c r="G41" s="3">
        <v>5957.89</v>
      </c>
      <c r="H41" s="19">
        <v>79</v>
      </c>
      <c r="I41" s="4">
        <f t="shared" si="1"/>
        <v>3.8053357728979893E-2</v>
      </c>
      <c r="M41" s="3">
        <v>5957.89</v>
      </c>
      <c r="N41" s="4">
        <v>3.92</v>
      </c>
      <c r="O41" s="4">
        <f t="shared" si="2"/>
        <v>2.9514503505282425E-2</v>
      </c>
    </row>
    <row r="42" spans="2:15" x14ac:dyDescent="0.3">
      <c r="B42" s="3">
        <v>2507.7199999999998</v>
      </c>
      <c r="C42" s="3">
        <v>1665.13</v>
      </c>
      <c r="D42" s="13">
        <f t="shared" si="0"/>
        <v>6.5012103659528184E-2</v>
      </c>
      <c r="G42" s="3">
        <v>2507.7199999999998</v>
      </c>
      <c r="H42" s="19">
        <v>13</v>
      </c>
      <c r="I42" s="4">
        <f t="shared" si="1"/>
        <v>3.8053357728979893E-2</v>
      </c>
      <c r="M42" s="3">
        <v>2507.7199999999998</v>
      </c>
      <c r="N42" s="4">
        <v>4.53</v>
      </c>
      <c r="O42" s="4">
        <f t="shared" si="2"/>
        <v>2.9514503505282425E-2</v>
      </c>
    </row>
    <row r="43" spans="2:15" x14ac:dyDescent="0.3">
      <c r="B43" s="3">
        <v>4900.88</v>
      </c>
      <c r="C43" s="3">
        <v>3319.38</v>
      </c>
      <c r="D43" s="13">
        <f t="shared" si="0"/>
        <v>6.5012103659528184E-2</v>
      </c>
      <c r="G43" s="3">
        <v>4900.88</v>
      </c>
      <c r="H43" s="19">
        <v>29</v>
      </c>
      <c r="I43" s="4">
        <f t="shared" si="1"/>
        <v>3.8053357728979893E-2</v>
      </c>
      <c r="M43" s="3">
        <v>4900.88</v>
      </c>
      <c r="N43" s="4">
        <v>3.68</v>
      </c>
      <c r="O43" s="4">
        <f t="shared" si="2"/>
        <v>2.9514503505282425E-2</v>
      </c>
    </row>
    <row r="44" spans="2:15" x14ac:dyDescent="0.3">
      <c r="B44" s="3">
        <v>3183.48</v>
      </c>
      <c r="C44" s="3">
        <v>3517.76</v>
      </c>
      <c r="D44" s="13">
        <f t="shared" si="0"/>
        <v>6.5012103659528184E-2</v>
      </c>
      <c r="G44" s="3">
        <v>3183.48</v>
      </c>
      <c r="H44" s="19">
        <v>56</v>
      </c>
      <c r="I44" s="4">
        <f t="shared" si="1"/>
        <v>3.8053357728979893E-2</v>
      </c>
      <c r="M44" s="3">
        <v>3183.48</v>
      </c>
      <c r="N44" s="4">
        <v>2.0299999999999998</v>
      </c>
      <c r="O44" s="4">
        <f t="shared" si="2"/>
        <v>2.9514503505282425E-2</v>
      </c>
    </row>
    <row r="45" spans="2:15" x14ac:dyDescent="0.3">
      <c r="B45" s="3">
        <v>4022.25</v>
      </c>
      <c r="C45" s="3">
        <v>2613.4499999999998</v>
      </c>
      <c r="D45" s="13">
        <f t="shared" si="0"/>
        <v>6.5012103659528184E-2</v>
      </c>
      <c r="G45" s="3">
        <v>4022.25</v>
      </c>
      <c r="H45" s="19">
        <v>24</v>
      </c>
      <c r="I45" s="4">
        <f t="shared" si="1"/>
        <v>3.8053357728979893E-2</v>
      </c>
      <c r="M45" s="3">
        <v>4022.25</v>
      </c>
      <c r="N45" s="4">
        <v>3.7</v>
      </c>
      <c r="O45" s="4">
        <f t="shared" si="2"/>
        <v>2.9514503505282425E-2</v>
      </c>
    </row>
    <row r="46" spans="2:15" x14ac:dyDescent="0.3">
      <c r="B46" s="3">
        <v>5071.1000000000004</v>
      </c>
      <c r="C46" s="3">
        <v>4259.1899999999996</v>
      </c>
      <c r="D46" s="13">
        <f t="shared" si="0"/>
        <v>6.5012103659528184E-2</v>
      </c>
      <c r="G46" s="3">
        <v>5071.1000000000004</v>
      </c>
      <c r="H46" s="19">
        <v>79</v>
      </c>
      <c r="I46" s="4">
        <f t="shared" si="1"/>
        <v>3.8053357728979893E-2</v>
      </c>
      <c r="M46" s="3">
        <v>5071.1000000000004</v>
      </c>
      <c r="N46" s="4">
        <v>2.19</v>
      </c>
      <c r="O46" s="4">
        <f t="shared" si="2"/>
        <v>2.9514503505282425E-2</v>
      </c>
    </row>
    <row r="47" spans="2:15" x14ac:dyDescent="0.3">
      <c r="B47" s="3">
        <v>3709.38</v>
      </c>
      <c r="C47" s="3">
        <v>2019.39</v>
      </c>
      <c r="D47" s="13">
        <f t="shared" si="0"/>
        <v>6.5012103659528184E-2</v>
      </c>
      <c r="G47" s="3">
        <v>3709.38</v>
      </c>
      <c r="H47" s="19">
        <v>56</v>
      </c>
      <c r="I47" s="4">
        <f t="shared" si="1"/>
        <v>3.8053357728979893E-2</v>
      </c>
      <c r="M47" s="3">
        <v>3709.38</v>
      </c>
      <c r="N47" s="4">
        <v>3.87</v>
      </c>
      <c r="O47" s="4">
        <f t="shared" si="2"/>
        <v>2.9514503505282425E-2</v>
      </c>
    </row>
    <row r="48" spans="2:15" x14ac:dyDescent="0.3">
      <c r="B48" s="3">
        <v>4423.17</v>
      </c>
      <c r="C48" s="3">
        <v>1828.5</v>
      </c>
      <c r="D48" s="13">
        <f t="shared" si="0"/>
        <v>6.5012103659528184E-2</v>
      </c>
      <c r="G48" s="3">
        <v>4423.17</v>
      </c>
      <c r="H48" s="19">
        <v>87</v>
      </c>
      <c r="I48" s="4">
        <f t="shared" si="1"/>
        <v>3.8053357728979893E-2</v>
      </c>
      <c r="M48" s="3">
        <v>4423.17</v>
      </c>
      <c r="N48" s="4">
        <v>4.82</v>
      </c>
      <c r="O48" s="4">
        <f t="shared" si="2"/>
        <v>2.9514503505282425E-2</v>
      </c>
    </row>
    <row r="49" spans="2:15" x14ac:dyDescent="0.3">
      <c r="B49" s="3">
        <v>6509.44</v>
      </c>
      <c r="C49" s="3">
        <v>3179.56</v>
      </c>
      <c r="D49" s="13">
        <f t="shared" si="0"/>
        <v>6.5012103659528184E-2</v>
      </c>
      <c r="G49" s="3">
        <v>6509.44</v>
      </c>
      <c r="H49" s="19">
        <v>84</v>
      </c>
      <c r="I49" s="4">
        <f t="shared" si="1"/>
        <v>3.8053357728979893E-2</v>
      </c>
      <c r="M49" s="3">
        <v>6509.44</v>
      </c>
      <c r="N49" s="4">
        <v>3.89</v>
      </c>
      <c r="O49" s="4">
        <f t="shared" si="2"/>
        <v>2.9514503505282425E-2</v>
      </c>
    </row>
    <row r="50" spans="2:15" x14ac:dyDescent="0.3">
      <c r="B50" s="3">
        <v>4134.66</v>
      </c>
      <c r="C50" s="3">
        <v>3837.68</v>
      </c>
      <c r="D50" s="13">
        <f t="shared" si="0"/>
        <v>6.5012103659528184E-2</v>
      </c>
      <c r="G50" s="3">
        <v>4134.66</v>
      </c>
      <c r="H50" s="19">
        <v>18</v>
      </c>
      <c r="I50" s="4">
        <f t="shared" si="1"/>
        <v>3.8053357728979893E-2</v>
      </c>
      <c r="M50" s="3">
        <v>4134.66</v>
      </c>
      <c r="N50" s="4">
        <v>4.45</v>
      </c>
      <c r="O50" s="4">
        <f t="shared" si="2"/>
        <v>2.9514503505282425E-2</v>
      </c>
    </row>
    <row r="51" spans="2:15" x14ac:dyDescent="0.3">
      <c r="B51" s="3">
        <v>6253.54</v>
      </c>
      <c r="C51" s="3">
        <v>4347.1400000000003</v>
      </c>
      <c r="D51" s="13">
        <f t="shared" si="0"/>
        <v>6.5012103659528184E-2</v>
      </c>
      <c r="G51" s="3">
        <v>6253.54</v>
      </c>
      <c r="H51" s="19">
        <v>99</v>
      </c>
      <c r="I51" s="4">
        <f t="shared" si="1"/>
        <v>3.8053357728979893E-2</v>
      </c>
      <c r="M51" s="3">
        <v>6253.54</v>
      </c>
      <c r="N51" s="4">
        <v>1.01</v>
      </c>
      <c r="O51" s="4">
        <f t="shared" si="2"/>
        <v>2.9514503505282425E-2</v>
      </c>
    </row>
    <row r="52" spans="2:15" x14ac:dyDescent="0.3">
      <c r="B52" s="3">
        <v>3305.44</v>
      </c>
      <c r="C52" s="3">
        <v>2632.89</v>
      </c>
      <c r="D52" s="13">
        <f t="shared" si="0"/>
        <v>6.5012103659528184E-2</v>
      </c>
      <c r="G52" s="3">
        <v>3305.44</v>
      </c>
      <c r="H52" s="19">
        <v>25</v>
      </c>
      <c r="I52" s="4">
        <f t="shared" si="1"/>
        <v>3.8053357728979893E-2</v>
      </c>
      <c r="M52" s="3">
        <v>3305.44</v>
      </c>
      <c r="N52" s="4">
        <v>3.87</v>
      </c>
      <c r="O52" s="4">
        <f t="shared" si="2"/>
        <v>2.9514503505282425E-2</v>
      </c>
    </row>
    <row r="53" spans="2:15" x14ac:dyDescent="0.3">
      <c r="B53" s="3">
        <v>5794.71</v>
      </c>
      <c r="C53" s="3">
        <v>3862.94</v>
      </c>
      <c r="D53" s="13">
        <f t="shared" si="0"/>
        <v>6.5012103659528184E-2</v>
      </c>
      <c r="G53" s="3">
        <v>5794.71</v>
      </c>
      <c r="H53" s="19">
        <v>78</v>
      </c>
      <c r="I53" s="4">
        <f t="shared" si="1"/>
        <v>3.8053357728979893E-2</v>
      </c>
      <c r="M53" s="3">
        <v>5794.71</v>
      </c>
      <c r="N53" s="4">
        <v>4.32</v>
      </c>
      <c r="O53" s="4">
        <f t="shared" si="2"/>
        <v>2.9514503505282425E-2</v>
      </c>
    </row>
    <row r="54" spans="2:15" x14ac:dyDescent="0.3">
      <c r="B54" s="3">
        <v>7162.35</v>
      </c>
      <c r="C54" s="3">
        <v>2969.19</v>
      </c>
      <c r="D54" s="13">
        <f t="shared" si="0"/>
        <v>6.5012103659528184E-2</v>
      </c>
      <c r="G54" s="3">
        <v>7162.35</v>
      </c>
      <c r="H54" s="19">
        <v>70</v>
      </c>
      <c r="I54" s="4">
        <f t="shared" si="1"/>
        <v>3.8053357728979893E-2</v>
      </c>
      <c r="M54" s="3">
        <v>7162.35</v>
      </c>
      <c r="N54" s="4">
        <v>1.1599999999999999</v>
      </c>
      <c r="O54" s="4">
        <f t="shared" si="2"/>
        <v>2.9514503505282425E-2</v>
      </c>
    </row>
    <row r="55" spans="2:15" x14ac:dyDescent="0.3">
      <c r="B55" s="3">
        <v>1292.53</v>
      </c>
      <c r="C55" s="3">
        <v>2861.9</v>
      </c>
      <c r="D55" s="13">
        <f t="shared" si="0"/>
        <v>6.5012103659528184E-2</v>
      </c>
      <c r="G55" s="3">
        <v>1292.53</v>
      </c>
      <c r="H55" s="19">
        <v>19</v>
      </c>
      <c r="I55" s="4">
        <f t="shared" si="1"/>
        <v>3.8053357728979893E-2</v>
      </c>
      <c r="M55" s="3">
        <v>1292.53</v>
      </c>
      <c r="N55" s="4">
        <v>4.49</v>
      </c>
      <c r="O55" s="4">
        <f t="shared" si="2"/>
        <v>2.9514503505282425E-2</v>
      </c>
    </row>
    <row r="56" spans="2:15" x14ac:dyDescent="0.3">
      <c r="B56" s="3">
        <v>3804.66</v>
      </c>
      <c r="C56" s="3">
        <v>3706.93</v>
      </c>
      <c r="D56" s="13">
        <f t="shared" si="0"/>
        <v>6.5012103659528184E-2</v>
      </c>
      <c r="G56" s="3">
        <v>3804.66</v>
      </c>
      <c r="H56" s="19">
        <v>59</v>
      </c>
      <c r="I56" s="4">
        <f t="shared" si="1"/>
        <v>3.8053357728979893E-2</v>
      </c>
      <c r="M56" s="3">
        <v>3804.66</v>
      </c>
      <c r="N56" s="4">
        <v>2.0299999999999998</v>
      </c>
      <c r="O56" s="4">
        <f t="shared" si="2"/>
        <v>2.9514503505282425E-2</v>
      </c>
    </row>
    <row r="57" spans="2:15" x14ac:dyDescent="0.3">
      <c r="B57" s="3">
        <v>5865.61</v>
      </c>
      <c r="C57" s="3">
        <v>3521.86</v>
      </c>
      <c r="D57" s="13">
        <f t="shared" si="0"/>
        <v>6.5012103659528184E-2</v>
      </c>
      <c r="G57" s="3">
        <v>5865.61</v>
      </c>
      <c r="H57" s="19">
        <v>12</v>
      </c>
      <c r="I57" s="4">
        <f t="shared" si="1"/>
        <v>3.8053357728979893E-2</v>
      </c>
      <c r="M57" s="3">
        <v>5865.61</v>
      </c>
      <c r="N57" s="4">
        <v>3.66</v>
      </c>
      <c r="O57" s="4">
        <f t="shared" si="2"/>
        <v>2.9514503505282425E-2</v>
      </c>
    </row>
    <row r="58" spans="2:15" x14ac:dyDescent="0.3">
      <c r="B58" s="3">
        <v>4695.43</v>
      </c>
      <c r="C58" s="3">
        <v>1738.89</v>
      </c>
      <c r="D58" s="13">
        <f t="shared" si="0"/>
        <v>6.5012103659528184E-2</v>
      </c>
      <c r="G58" s="3">
        <v>4695.43</v>
      </c>
      <c r="H58" s="19">
        <v>86</v>
      </c>
      <c r="I58" s="4">
        <f t="shared" si="1"/>
        <v>3.8053357728979893E-2</v>
      </c>
      <c r="M58" s="3">
        <v>4695.43</v>
      </c>
      <c r="N58" s="4">
        <v>4.2</v>
      </c>
      <c r="O58" s="4">
        <f t="shared" si="2"/>
        <v>2.9514503505282425E-2</v>
      </c>
    </row>
    <row r="59" spans="2:15" x14ac:dyDescent="0.3">
      <c r="B59" s="3">
        <v>5556.72</v>
      </c>
      <c r="C59" s="3">
        <v>4181.2299999999996</v>
      </c>
      <c r="D59" s="13">
        <f t="shared" si="0"/>
        <v>6.5012103659528184E-2</v>
      </c>
      <c r="G59" s="3">
        <v>5556.72</v>
      </c>
      <c r="H59" s="19">
        <v>79</v>
      </c>
      <c r="I59" s="4">
        <f t="shared" si="1"/>
        <v>3.8053357728979893E-2</v>
      </c>
      <c r="M59" s="3">
        <v>5556.72</v>
      </c>
      <c r="N59" s="4">
        <v>3.65</v>
      </c>
      <c r="O59" s="4">
        <f t="shared" si="2"/>
        <v>2.9514503505282425E-2</v>
      </c>
    </row>
    <row r="60" spans="2:15" x14ac:dyDescent="0.3">
      <c r="B60" s="3">
        <v>4094.02</v>
      </c>
      <c r="C60" s="3">
        <v>4104.07</v>
      </c>
      <c r="D60" s="13">
        <f t="shared" si="0"/>
        <v>6.5012103659528184E-2</v>
      </c>
      <c r="G60" s="3">
        <v>4094.02</v>
      </c>
      <c r="H60" s="19">
        <v>90</v>
      </c>
      <c r="I60" s="4">
        <f t="shared" si="1"/>
        <v>3.8053357728979893E-2</v>
      </c>
      <c r="M60" s="3">
        <v>4094.02</v>
      </c>
      <c r="N60" s="4">
        <v>1.37</v>
      </c>
      <c r="O60" s="4">
        <f t="shared" si="2"/>
        <v>2.9514503505282425E-2</v>
      </c>
    </row>
    <row r="61" spans="2:15" x14ac:dyDescent="0.3">
      <c r="B61" s="3">
        <v>5129.88</v>
      </c>
      <c r="C61" s="3">
        <v>2499.5500000000002</v>
      </c>
      <c r="D61" s="13">
        <f t="shared" si="0"/>
        <v>6.5012103659528184E-2</v>
      </c>
      <c r="G61" s="3">
        <v>5129.88</v>
      </c>
      <c r="H61" s="19">
        <v>60</v>
      </c>
      <c r="I61" s="4">
        <f t="shared" si="1"/>
        <v>3.8053357728979893E-2</v>
      </c>
      <c r="M61" s="3">
        <v>5129.88</v>
      </c>
      <c r="N61" s="4">
        <v>3.39</v>
      </c>
      <c r="O61" s="4">
        <f t="shared" si="2"/>
        <v>2.9514503505282425E-2</v>
      </c>
    </row>
    <row r="62" spans="2:15" x14ac:dyDescent="0.3">
      <c r="B62" s="3">
        <v>4766.4799999999996</v>
      </c>
      <c r="C62" s="3">
        <v>3316.64</v>
      </c>
      <c r="D62" s="13">
        <f t="shared" si="0"/>
        <v>6.5012103659528184E-2</v>
      </c>
      <c r="G62" s="3">
        <v>4766.4799999999996</v>
      </c>
      <c r="H62" s="19">
        <v>28</v>
      </c>
      <c r="I62" s="4">
        <f t="shared" si="1"/>
        <v>3.8053357728979893E-2</v>
      </c>
      <c r="M62" s="3">
        <v>4766.4799999999996</v>
      </c>
      <c r="N62" s="4">
        <v>3.2</v>
      </c>
      <c r="O62" s="4">
        <f t="shared" si="2"/>
        <v>2.9514503505282425E-2</v>
      </c>
    </row>
    <row r="63" spans="2:15" x14ac:dyDescent="0.3">
      <c r="B63" s="3">
        <v>6751.67</v>
      </c>
      <c r="C63" s="3">
        <v>3395.22</v>
      </c>
      <c r="D63" s="13">
        <f t="shared" si="0"/>
        <v>6.5012103659528184E-2</v>
      </c>
      <c r="G63" s="3">
        <v>6751.67</v>
      </c>
      <c r="H63" s="19">
        <v>51</v>
      </c>
      <c r="I63" s="4">
        <f t="shared" si="1"/>
        <v>3.8053357728979893E-2</v>
      </c>
      <c r="M63" s="3">
        <v>6751.67</v>
      </c>
      <c r="N63" s="4">
        <v>4.5999999999999996</v>
      </c>
      <c r="O63" s="4">
        <f t="shared" si="2"/>
        <v>2.9514503505282425E-2</v>
      </c>
    </row>
    <row r="64" spans="2:15" x14ac:dyDescent="0.3">
      <c r="B64" s="3">
        <v>5381.63</v>
      </c>
      <c r="C64" s="3">
        <v>3208.54</v>
      </c>
      <c r="D64" s="13">
        <f t="shared" si="0"/>
        <v>6.5012103659528184E-2</v>
      </c>
      <c r="G64" s="3">
        <v>5381.63</v>
      </c>
      <c r="H64" s="19">
        <v>44</v>
      </c>
      <c r="I64" s="4">
        <f t="shared" si="1"/>
        <v>3.8053357728979893E-2</v>
      </c>
      <c r="M64" s="3">
        <v>5381.63</v>
      </c>
      <c r="N64" s="4">
        <v>2.62</v>
      </c>
      <c r="O64" s="4">
        <f t="shared" si="2"/>
        <v>2.9514503505282425E-2</v>
      </c>
    </row>
    <row r="65" spans="2:15" x14ac:dyDescent="0.3">
      <c r="B65" s="3">
        <v>5506.4</v>
      </c>
      <c r="C65" s="3">
        <v>2559.7600000000002</v>
      </c>
      <c r="D65" s="13">
        <f t="shared" si="0"/>
        <v>6.5012103659528184E-2</v>
      </c>
      <c r="G65" s="3">
        <v>5506.4</v>
      </c>
      <c r="H65" s="19">
        <v>55</v>
      </c>
      <c r="I65" s="4">
        <f t="shared" si="1"/>
        <v>3.8053357728979893E-2</v>
      </c>
      <c r="M65" s="3">
        <v>5506.4</v>
      </c>
      <c r="N65" s="4">
        <v>2.2799999999999998</v>
      </c>
      <c r="O65" s="4">
        <f t="shared" si="2"/>
        <v>2.9514503505282425E-2</v>
      </c>
    </row>
    <row r="66" spans="2:15" x14ac:dyDescent="0.3">
      <c r="B66" s="3">
        <v>4382.18</v>
      </c>
      <c r="C66" s="3">
        <v>2462.6999999999998</v>
      </c>
      <c r="D66" s="13">
        <f t="shared" si="0"/>
        <v>6.5012103659528184E-2</v>
      </c>
      <c r="G66" s="3">
        <v>4382.18</v>
      </c>
      <c r="H66" s="19">
        <v>35</v>
      </c>
      <c r="I66" s="4">
        <f t="shared" si="1"/>
        <v>3.8053357728979893E-2</v>
      </c>
      <c r="M66" s="3">
        <v>4382.18</v>
      </c>
      <c r="N66" s="4">
        <v>4</v>
      </c>
      <c r="O66" s="4">
        <f t="shared" si="2"/>
        <v>2.9514503505282425E-2</v>
      </c>
    </row>
    <row r="67" spans="2:15" x14ac:dyDescent="0.3">
      <c r="B67" s="3">
        <v>4268.59</v>
      </c>
      <c r="C67" s="3">
        <v>2979.56</v>
      </c>
      <c r="D67" s="13">
        <f t="shared" si="0"/>
        <v>6.5012103659528184E-2</v>
      </c>
      <c r="G67" s="3">
        <v>4268.59</v>
      </c>
      <c r="H67" s="19">
        <v>78</v>
      </c>
      <c r="I67" s="4">
        <f t="shared" si="1"/>
        <v>3.8053357728979893E-2</v>
      </c>
      <c r="M67" s="3">
        <v>4268.59</v>
      </c>
      <c r="N67" s="4">
        <v>2.65</v>
      </c>
      <c r="O67" s="4">
        <f t="shared" si="2"/>
        <v>2.9514503505282425E-2</v>
      </c>
    </row>
    <row r="68" spans="2:15" x14ac:dyDescent="0.3">
      <c r="B68" s="3">
        <v>4351.16</v>
      </c>
      <c r="C68" s="3">
        <v>3938.18</v>
      </c>
      <c r="D68" s="13">
        <f t="shared" si="0"/>
        <v>6.5012103659528184E-2</v>
      </c>
      <c r="G68" s="3">
        <v>4351.16</v>
      </c>
      <c r="H68" s="19">
        <v>73</v>
      </c>
      <c r="I68" s="4">
        <f t="shared" si="1"/>
        <v>3.8053357728979893E-2</v>
      </c>
      <c r="M68" s="3">
        <v>4351.16</v>
      </c>
      <c r="N68" s="4">
        <v>3.58</v>
      </c>
      <c r="O68" s="4">
        <f t="shared" si="2"/>
        <v>2.9514503505282425E-2</v>
      </c>
    </row>
    <row r="69" spans="2:15" x14ac:dyDescent="0.3">
      <c r="B69" s="3">
        <v>5591.68</v>
      </c>
      <c r="C69" s="3">
        <v>3434.88</v>
      </c>
      <c r="D69" s="13">
        <f t="shared" si="0"/>
        <v>6.5012103659528184E-2</v>
      </c>
      <c r="G69" s="3">
        <v>5591.68</v>
      </c>
      <c r="H69" s="19">
        <v>46</v>
      </c>
      <c r="I69" s="4">
        <f t="shared" si="1"/>
        <v>3.8053357728979893E-2</v>
      </c>
      <c r="M69" s="3">
        <v>5591.68</v>
      </c>
      <c r="N69" s="4">
        <v>3.59</v>
      </c>
      <c r="O69" s="4">
        <f t="shared" si="2"/>
        <v>2.9514503505282425E-2</v>
      </c>
    </row>
    <row r="70" spans="2:15" x14ac:dyDescent="0.3">
      <c r="B70" s="3">
        <v>4368.5200000000004</v>
      </c>
      <c r="C70" s="3">
        <v>2703.51</v>
      </c>
      <c r="D70" s="13">
        <f t="shared" ref="D70:D133" si="3">CORREL(B:B,C:C)</f>
        <v>6.5012103659528184E-2</v>
      </c>
      <c r="G70" s="3">
        <v>4368.5200000000004</v>
      </c>
      <c r="H70" s="19">
        <v>93</v>
      </c>
      <c r="I70" s="4">
        <f t="shared" ref="I70:I133" si="4">CORREL(G:G,H:H)</f>
        <v>3.8053357728979893E-2</v>
      </c>
      <c r="M70" s="3">
        <v>4368.5200000000004</v>
      </c>
      <c r="N70" s="4">
        <v>4.55</v>
      </c>
      <c r="O70" s="4">
        <f t="shared" ref="O70:O133" si="5">CORREL(M:M,N:N)</f>
        <v>2.9514503505282425E-2</v>
      </c>
    </row>
    <row r="71" spans="2:15" x14ac:dyDescent="0.3">
      <c r="B71" s="3">
        <v>5434.66</v>
      </c>
      <c r="C71" s="3">
        <v>3617.36</v>
      </c>
      <c r="D71" s="13">
        <f t="shared" si="3"/>
        <v>6.5012103659528184E-2</v>
      </c>
      <c r="G71" s="3">
        <v>5434.66</v>
      </c>
      <c r="H71" s="19">
        <v>58</v>
      </c>
      <c r="I71" s="4">
        <f t="shared" si="4"/>
        <v>3.8053357728979893E-2</v>
      </c>
      <c r="M71" s="3">
        <v>5434.66</v>
      </c>
      <c r="N71" s="4">
        <v>3.39</v>
      </c>
      <c r="O71" s="4">
        <f t="shared" si="5"/>
        <v>2.9514503505282425E-2</v>
      </c>
    </row>
    <row r="72" spans="2:15" x14ac:dyDescent="0.3">
      <c r="B72" s="3">
        <v>8113.1</v>
      </c>
      <c r="C72" s="3">
        <v>721.17</v>
      </c>
      <c r="D72" s="13">
        <f t="shared" si="3"/>
        <v>6.5012103659528184E-2</v>
      </c>
      <c r="G72" s="3">
        <v>8113.1</v>
      </c>
      <c r="H72" s="19">
        <v>30</v>
      </c>
      <c r="I72" s="4">
        <f t="shared" si="4"/>
        <v>3.8053357728979893E-2</v>
      </c>
      <c r="M72" s="3">
        <v>8113.1</v>
      </c>
      <c r="N72" s="4">
        <v>3.01</v>
      </c>
      <c r="O72" s="4">
        <f t="shared" si="5"/>
        <v>2.9514503505282425E-2</v>
      </c>
    </row>
    <row r="73" spans="2:15" x14ac:dyDescent="0.3">
      <c r="B73" s="3">
        <v>6306.69</v>
      </c>
      <c r="C73" s="3">
        <v>3919.01</v>
      </c>
      <c r="D73" s="13">
        <f t="shared" si="3"/>
        <v>6.5012103659528184E-2</v>
      </c>
      <c r="G73" s="3">
        <v>6306.69</v>
      </c>
      <c r="H73" s="19">
        <v>83</v>
      </c>
      <c r="I73" s="4">
        <f t="shared" si="4"/>
        <v>3.8053357728979893E-2</v>
      </c>
      <c r="M73" s="3">
        <v>6306.69</v>
      </c>
      <c r="N73" s="4">
        <v>1.56</v>
      </c>
      <c r="O73" s="4">
        <f t="shared" si="5"/>
        <v>2.9514503505282425E-2</v>
      </c>
    </row>
    <row r="74" spans="2:15" x14ac:dyDescent="0.3">
      <c r="B74" s="3">
        <v>4510.96</v>
      </c>
      <c r="C74" s="3">
        <v>1608.23</v>
      </c>
      <c r="D74" s="13">
        <f t="shared" si="3"/>
        <v>6.5012103659528184E-2</v>
      </c>
      <c r="G74" s="3">
        <v>4510.96</v>
      </c>
      <c r="H74" s="19">
        <v>73</v>
      </c>
      <c r="I74" s="4">
        <f t="shared" si="4"/>
        <v>3.8053357728979893E-2</v>
      </c>
      <c r="M74" s="3">
        <v>4510.96</v>
      </c>
      <c r="N74" s="4">
        <v>1.46</v>
      </c>
      <c r="O74" s="4">
        <f t="shared" si="5"/>
        <v>2.9514503505282425E-2</v>
      </c>
    </row>
    <row r="75" spans="2:15" x14ac:dyDescent="0.3">
      <c r="B75" s="3">
        <v>6801.82</v>
      </c>
      <c r="C75" s="3">
        <v>2710.05</v>
      </c>
      <c r="D75" s="13">
        <f t="shared" si="3"/>
        <v>6.5012103659528184E-2</v>
      </c>
      <c r="G75" s="3">
        <v>6801.82</v>
      </c>
      <c r="H75" s="19">
        <v>14</v>
      </c>
      <c r="I75" s="4">
        <f t="shared" si="4"/>
        <v>3.8053357728979893E-2</v>
      </c>
      <c r="M75" s="3">
        <v>6801.82</v>
      </c>
      <c r="N75" s="4">
        <v>1.62</v>
      </c>
      <c r="O75" s="4">
        <f t="shared" si="5"/>
        <v>2.9514503505282425E-2</v>
      </c>
    </row>
    <row r="76" spans="2:15" x14ac:dyDescent="0.3">
      <c r="B76" s="3">
        <v>4387.8900000000003</v>
      </c>
      <c r="C76" s="3">
        <v>2104.2600000000002</v>
      </c>
      <c r="D76" s="13">
        <f t="shared" si="3"/>
        <v>6.5012103659528184E-2</v>
      </c>
      <c r="G76" s="3">
        <v>4387.8900000000003</v>
      </c>
      <c r="H76" s="19">
        <v>79</v>
      </c>
      <c r="I76" s="4">
        <f t="shared" si="4"/>
        <v>3.8053357728979893E-2</v>
      </c>
      <c r="M76" s="3">
        <v>4387.8900000000003</v>
      </c>
      <c r="N76" s="4">
        <v>1.69</v>
      </c>
      <c r="O76" s="4">
        <f t="shared" si="5"/>
        <v>2.9514503505282425E-2</v>
      </c>
    </row>
    <row r="77" spans="2:15" x14ac:dyDescent="0.3">
      <c r="B77" s="3">
        <v>1942.81</v>
      </c>
      <c r="C77" s="3">
        <v>1964.25</v>
      </c>
      <c r="D77" s="13">
        <f t="shared" si="3"/>
        <v>6.5012103659528184E-2</v>
      </c>
      <c r="G77" s="3">
        <v>1942.81</v>
      </c>
      <c r="H77" s="19">
        <v>99</v>
      </c>
      <c r="I77" s="4">
        <f t="shared" si="4"/>
        <v>3.8053357728979893E-2</v>
      </c>
      <c r="M77" s="3">
        <v>1942.81</v>
      </c>
      <c r="N77" s="4">
        <v>3.55</v>
      </c>
      <c r="O77" s="4">
        <f t="shared" si="5"/>
        <v>2.9514503505282425E-2</v>
      </c>
    </row>
    <row r="78" spans="2:15" x14ac:dyDescent="0.3">
      <c r="B78" s="3">
        <v>3487.87</v>
      </c>
      <c r="C78" s="3">
        <v>3928.66</v>
      </c>
      <c r="D78" s="13">
        <f t="shared" si="3"/>
        <v>6.5012103659528184E-2</v>
      </c>
      <c r="G78" s="3">
        <v>3487.87</v>
      </c>
      <c r="H78" s="19">
        <v>13</v>
      </c>
      <c r="I78" s="4">
        <f t="shared" si="4"/>
        <v>3.8053357728979893E-2</v>
      </c>
      <c r="M78" s="3">
        <v>3487.87</v>
      </c>
      <c r="N78" s="4">
        <v>3.96</v>
      </c>
      <c r="O78" s="4">
        <f t="shared" si="5"/>
        <v>2.9514503505282425E-2</v>
      </c>
    </row>
    <row r="79" spans="2:15" x14ac:dyDescent="0.3">
      <c r="B79" s="3">
        <v>2193.81</v>
      </c>
      <c r="C79" s="3">
        <v>2625.84</v>
      </c>
      <c r="D79" s="13">
        <f t="shared" si="3"/>
        <v>6.5012103659528184E-2</v>
      </c>
      <c r="G79" s="3">
        <v>2193.81</v>
      </c>
      <c r="H79" s="19">
        <v>48</v>
      </c>
      <c r="I79" s="4">
        <f t="shared" si="4"/>
        <v>3.8053357728979893E-2</v>
      </c>
      <c r="M79" s="3">
        <v>2193.81</v>
      </c>
      <c r="N79" s="4">
        <v>3.12</v>
      </c>
      <c r="O79" s="4">
        <f t="shared" si="5"/>
        <v>2.9514503505282425E-2</v>
      </c>
    </row>
    <row r="80" spans="2:15" x14ac:dyDescent="0.3">
      <c r="B80" s="3">
        <v>4472.7299999999996</v>
      </c>
      <c r="C80" s="3">
        <v>3277.2</v>
      </c>
      <c r="D80" s="13">
        <f t="shared" si="3"/>
        <v>6.5012103659528184E-2</v>
      </c>
      <c r="G80" s="3">
        <v>4472.7299999999996</v>
      </c>
      <c r="H80" s="19">
        <v>44</v>
      </c>
      <c r="I80" s="4">
        <f t="shared" si="4"/>
        <v>3.8053357728979893E-2</v>
      </c>
      <c r="M80" s="3">
        <v>4472.7299999999996</v>
      </c>
      <c r="N80" s="4">
        <v>4.32</v>
      </c>
      <c r="O80" s="4">
        <f t="shared" si="5"/>
        <v>2.9514503505282425E-2</v>
      </c>
    </row>
    <row r="81" spans="2:15" x14ac:dyDescent="0.3">
      <c r="B81" s="3">
        <v>5027.63</v>
      </c>
      <c r="C81" s="3">
        <v>2962.46</v>
      </c>
      <c r="D81" s="13">
        <f t="shared" si="3"/>
        <v>6.5012103659528184E-2</v>
      </c>
      <c r="G81" s="3">
        <v>5027.63</v>
      </c>
      <c r="H81" s="19">
        <v>10</v>
      </c>
      <c r="I81" s="4">
        <f t="shared" si="4"/>
        <v>3.8053357728979893E-2</v>
      </c>
      <c r="M81" s="3">
        <v>5027.63</v>
      </c>
      <c r="N81" s="4">
        <v>4.97</v>
      </c>
      <c r="O81" s="4">
        <f t="shared" si="5"/>
        <v>2.9514503505282425E-2</v>
      </c>
    </row>
    <row r="82" spans="2:15" x14ac:dyDescent="0.3">
      <c r="B82" s="3">
        <v>7514.66</v>
      </c>
      <c r="C82" s="3">
        <v>3381.63</v>
      </c>
      <c r="D82" s="13">
        <f t="shared" si="3"/>
        <v>6.5012103659528184E-2</v>
      </c>
      <c r="G82" s="3">
        <v>7514.66</v>
      </c>
      <c r="H82" s="19">
        <v>33</v>
      </c>
      <c r="I82" s="4">
        <f t="shared" si="4"/>
        <v>3.8053357728979893E-2</v>
      </c>
      <c r="M82" s="3">
        <v>7514.66</v>
      </c>
      <c r="N82" s="4">
        <v>4.28</v>
      </c>
      <c r="O82" s="4">
        <f t="shared" si="5"/>
        <v>2.9514503505282425E-2</v>
      </c>
    </row>
    <row r="83" spans="2:15" x14ac:dyDescent="0.3">
      <c r="B83" s="3">
        <v>5490.39</v>
      </c>
      <c r="C83" s="3">
        <v>3061.46</v>
      </c>
      <c r="D83" s="13">
        <f t="shared" si="3"/>
        <v>6.5012103659528184E-2</v>
      </c>
      <c r="G83" s="3">
        <v>5490.39</v>
      </c>
      <c r="H83" s="19">
        <v>66</v>
      </c>
      <c r="I83" s="4">
        <f t="shared" si="4"/>
        <v>3.8053357728979893E-2</v>
      </c>
      <c r="M83" s="3">
        <v>5490.39</v>
      </c>
      <c r="N83" s="4">
        <v>3.78</v>
      </c>
      <c r="O83" s="4">
        <f t="shared" si="5"/>
        <v>2.9514503505282425E-2</v>
      </c>
    </row>
    <row r="84" spans="2:15" x14ac:dyDescent="0.3">
      <c r="B84" s="3">
        <v>4671.3500000000004</v>
      </c>
      <c r="C84" s="3">
        <v>1973.61</v>
      </c>
      <c r="D84" s="13">
        <f t="shared" si="3"/>
        <v>6.5012103659528184E-2</v>
      </c>
      <c r="G84" s="3">
        <v>4671.3500000000004</v>
      </c>
      <c r="H84" s="19">
        <v>79</v>
      </c>
      <c r="I84" s="4">
        <f t="shared" si="4"/>
        <v>3.8053357728979893E-2</v>
      </c>
      <c r="M84" s="3">
        <v>4671.3500000000004</v>
      </c>
      <c r="N84" s="4">
        <v>3.13</v>
      </c>
      <c r="O84" s="4">
        <f t="shared" si="5"/>
        <v>2.9514503505282425E-2</v>
      </c>
    </row>
    <row r="85" spans="2:15" x14ac:dyDescent="0.3">
      <c r="B85" s="3">
        <v>6244.11</v>
      </c>
      <c r="C85" s="3">
        <v>3797.01</v>
      </c>
      <c r="D85" s="13">
        <f t="shared" si="3"/>
        <v>6.5012103659528184E-2</v>
      </c>
      <c r="G85" s="3">
        <v>6244.11</v>
      </c>
      <c r="H85" s="19">
        <v>50</v>
      </c>
      <c r="I85" s="4">
        <f t="shared" si="4"/>
        <v>3.8053357728979893E-2</v>
      </c>
      <c r="M85" s="3">
        <v>6244.11</v>
      </c>
      <c r="N85" s="4">
        <v>2.8</v>
      </c>
      <c r="O85" s="4">
        <f t="shared" si="5"/>
        <v>2.9514503505282425E-2</v>
      </c>
    </row>
    <row r="86" spans="2:15" x14ac:dyDescent="0.3">
      <c r="B86" s="3">
        <v>1683.3</v>
      </c>
      <c r="C86" s="3">
        <v>2604.9899999999998</v>
      </c>
      <c r="D86" s="13">
        <f t="shared" si="3"/>
        <v>6.5012103659528184E-2</v>
      </c>
      <c r="G86" s="3">
        <v>1683.3</v>
      </c>
      <c r="H86" s="19">
        <v>63</v>
      </c>
      <c r="I86" s="4">
        <f t="shared" si="4"/>
        <v>3.8053357728979893E-2</v>
      </c>
      <c r="M86" s="3">
        <v>1683.3</v>
      </c>
      <c r="N86" s="4">
        <v>1.34</v>
      </c>
      <c r="O86" s="4">
        <f t="shared" si="5"/>
        <v>2.9514503505282425E-2</v>
      </c>
    </row>
    <row r="87" spans="2:15" x14ac:dyDescent="0.3">
      <c r="B87" s="3">
        <v>5353.42</v>
      </c>
      <c r="C87" s="3">
        <v>1754.73</v>
      </c>
      <c r="D87" s="13">
        <f t="shared" si="3"/>
        <v>6.5012103659528184E-2</v>
      </c>
      <c r="G87" s="3">
        <v>5353.42</v>
      </c>
      <c r="H87" s="19">
        <v>55</v>
      </c>
      <c r="I87" s="4">
        <f t="shared" si="4"/>
        <v>3.8053357728979893E-2</v>
      </c>
      <c r="M87" s="3">
        <v>5353.42</v>
      </c>
      <c r="N87" s="4">
        <v>2.6</v>
      </c>
      <c r="O87" s="4">
        <f t="shared" si="5"/>
        <v>2.9514503505282425E-2</v>
      </c>
    </row>
    <row r="88" spans="2:15" x14ac:dyDescent="0.3">
      <c r="B88" s="3">
        <v>6156.3</v>
      </c>
      <c r="C88" s="3">
        <v>2657.51</v>
      </c>
      <c r="D88" s="13">
        <f t="shared" si="3"/>
        <v>6.5012103659528184E-2</v>
      </c>
      <c r="G88" s="3">
        <v>6156.3</v>
      </c>
      <c r="H88" s="19">
        <v>69</v>
      </c>
      <c r="I88" s="4">
        <f t="shared" si="4"/>
        <v>3.8053357728979893E-2</v>
      </c>
      <c r="M88" s="3">
        <v>6156.3</v>
      </c>
      <c r="N88" s="4">
        <v>4.6399999999999997</v>
      </c>
      <c r="O88" s="4">
        <f t="shared" si="5"/>
        <v>2.9514503505282425E-2</v>
      </c>
    </row>
    <row r="89" spans="2:15" x14ac:dyDescent="0.3">
      <c r="B89" s="3">
        <v>2782.12</v>
      </c>
      <c r="C89" s="3">
        <v>4200.6099999999997</v>
      </c>
      <c r="D89" s="13">
        <f t="shared" si="3"/>
        <v>6.5012103659528184E-2</v>
      </c>
      <c r="G89" s="3">
        <v>2782.12</v>
      </c>
      <c r="H89" s="19">
        <v>69</v>
      </c>
      <c r="I89" s="4">
        <f t="shared" si="4"/>
        <v>3.8053357728979893E-2</v>
      </c>
      <c r="M89" s="3">
        <v>2782.12</v>
      </c>
      <c r="N89" s="4">
        <v>4.2300000000000004</v>
      </c>
      <c r="O89" s="4">
        <f t="shared" si="5"/>
        <v>2.9514503505282425E-2</v>
      </c>
    </row>
    <row r="90" spans="2:15" x14ac:dyDescent="0.3">
      <c r="B90" s="3">
        <v>6715.63</v>
      </c>
      <c r="C90" s="3">
        <v>3680.18</v>
      </c>
      <c r="D90" s="13">
        <f t="shared" si="3"/>
        <v>6.5012103659528184E-2</v>
      </c>
      <c r="G90" s="3">
        <v>6715.63</v>
      </c>
      <c r="H90" s="19">
        <v>66</v>
      </c>
      <c r="I90" s="4">
        <f t="shared" si="4"/>
        <v>3.8053357728979893E-2</v>
      </c>
      <c r="M90" s="3">
        <v>6715.63</v>
      </c>
      <c r="N90" s="4">
        <v>1.86</v>
      </c>
      <c r="O90" s="4">
        <f t="shared" si="5"/>
        <v>2.9514503505282425E-2</v>
      </c>
    </row>
    <row r="91" spans="2:15" x14ac:dyDescent="0.3">
      <c r="B91" s="3">
        <v>5507.74</v>
      </c>
      <c r="C91" s="3">
        <v>2721.08</v>
      </c>
      <c r="D91" s="13">
        <f t="shared" si="3"/>
        <v>6.5012103659528184E-2</v>
      </c>
      <c r="G91" s="3">
        <v>5507.74</v>
      </c>
      <c r="H91" s="19">
        <v>40</v>
      </c>
      <c r="I91" s="4">
        <f t="shared" si="4"/>
        <v>3.8053357728979893E-2</v>
      </c>
      <c r="M91" s="3">
        <v>5507.74</v>
      </c>
      <c r="N91" s="4">
        <v>2.87</v>
      </c>
      <c r="O91" s="4">
        <f t="shared" si="5"/>
        <v>2.9514503505282425E-2</v>
      </c>
    </row>
    <row r="92" spans="2:15" x14ac:dyDescent="0.3">
      <c r="B92" s="3">
        <v>4377.07</v>
      </c>
      <c r="C92" s="3">
        <v>2720.59</v>
      </c>
      <c r="D92" s="13">
        <f t="shared" si="3"/>
        <v>6.5012103659528184E-2</v>
      </c>
      <c r="G92" s="3">
        <v>4377.07</v>
      </c>
      <c r="H92" s="19">
        <v>93</v>
      </c>
      <c r="I92" s="4">
        <f t="shared" si="4"/>
        <v>3.8053357728979893E-2</v>
      </c>
      <c r="M92" s="3">
        <v>4377.07</v>
      </c>
      <c r="N92" s="4">
        <v>4.2699999999999996</v>
      </c>
      <c r="O92" s="4">
        <f t="shared" si="5"/>
        <v>2.9514503505282425E-2</v>
      </c>
    </row>
    <row r="93" spans="2:15" x14ac:dyDescent="0.3">
      <c r="B93" s="3">
        <v>5949.17</v>
      </c>
      <c r="C93" s="3">
        <v>2742.69</v>
      </c>
      <c r="D93" s="13">
        <f t="shared" si="3"/>
        <v>6.5012103659528184E-2</v>
      </c>
      <c r="G93" s="3">
        <v>5949.17</v>
      </c>
      <c r="H93" s="19">
        <v>33</v>
      </c>
      <c r="I93" s="4">
        <f t="shared" si="4"/>
        <v>3.8053357728979893E-2</v>
      </c>
      <c r="M93" s="3">
        <v>5949.17</v>
      </c>
      <c r="N93" s="4">
        <v>1.27</v>
      </c>
      <c r="O93" s="4">
        <f t="shared" si="5"/>
        <v>2.9514503505282425E-2</v>
      </c>
    </row>
    <row r="94" spans="2:15" x14ac:dyDescent="0.3">
      <c r="B94" s="3">
        <v>8406.0400000000009</v>
      </c>
      <c r="C94" s="3">
        <v>4661.3999999999996</v>
      </c>
      <c r="D94" s="13">
        <f t="shared" si="3"/>
        <v>6.5012103659528184E-2</v>
      </c>
      <c r="G94" s="3">
        <v>8406.0400000000009</v>
      </c>
      <c r="H94" s="19">
        <v>98</v>
      </c>
      <c r="I94" s="4">
        <f t="shared" si="4"/>
        <v>3.8053357728979893E-2</v>
      </c>
      <c r="M94" s="3">
        <v>8406.0400000000009</v>
      </c>
      <c r="N94" s="4">
        <v>2.5499999999999998</v>
      </c>
      <c r="O94" s="4">
        <f t="shared" si="5"/>
        <v>2.9514503505282425E-2</v>
      </c>
    </row>
    <row r="95" spans="2:15" x14ac:dyDescent="0.3">
      <c r="B95" s="3">
        <v>5272.8</v>
      </c>
      <c r="C95" s="3">
        <v>3305.55</v>
      </c>
      <c r="D95" s="13">
        <f t="shared" si="3"/>
        <v>6.5012103659528184E-2</v>
      </c>
      <c r="G95" s="3">
        <v>5272.8</v>
      </c>
      <c r="H95" s="19">
        <v>45</v>
      </c>
      <c r="I95" s="4">
        <f t="shared" si="4"/>
        <v>3.8053357728979893E-2</v>
      </c>
      <c r="M95" s="3">
        <v>5272.8</v>
      </c>
      <c r="N95" s="4">
        <v>4.41</v>
      </c>
      <c r="O95" s="4">
        <f t="shared" si="5"/>
        <v>2.9514503505282425E-2</v>
      </c>
    </row>
    <row r="96" spans="2:15" x14ac:dyDescent="0.3">
      <c r="B96" s="3">
        <v>5372.33</v>
      </c>
      <c r="C96" s="3">
        <v>3344.03</v>
      </c>
      <c r="D96" s="13">
        <f t="shared" si="3"/>
        <v>6.5012103659528184E-2</v>
      </c>
      <c r="G96" s="3">
        <v>5372.33</v>
      </c>
      <c r="H96" s="19">
        <v>94</v>
      </c>
      <c r="I96" s="4">
        <f t="shared" si="4"/>
        <v>3.8053357728979893E-2</v>
      </c>
      <c r="M96" s="3">
        <v>5372.33</v>
      </c>
      <c r="N96" s="4">
        <v>2.62</v>
      </c>
      <c r="O96" s="4">
        <f t="shared" si="5"/>
        <v>2.9514503505282425E-2</v>
      </c>
    </row>
    <row r="97" spans="2:15" x14ac:dyDescent="0.3">
      <c r="B97" s="3">
        <v>4310.96</v>
      </c>
      <c r="C97" s="3">
        <v>3824.23</v>
      </c>
      <c r="D97" s="13">
        <f t="shared" si="3"/>
        <v>6.5012103659528184E-2</v>
      </c>
      <c r="G97" s="3">
        <v>4310.96</v>
      </c>
      <c r="H97" s="19">
        <v>39</v>
      </c>
      <c r="I97" s="4">
        <f t="shared" si="4"/>
        <v>3.8053357728979893E-2</v>
      </c>
      <c r="M97" s="3">
        <v>4310.96</v>
      </c>
      <c r="N97" s="4">
        <v>1.31</v>
      </c>
      <c r="O97" s="4">
        <f t="shared" si="5"/>
        <v>2.9514503505282425E-2</v>
      </c>
    </row>
    <row r="98" spans="2:15" x14ac:dyDescent="0.3">
      <c r="B98" s="3">
        <v>3725.23</v>
      </c>
      <c r="C98" s="3">
        <v>3191.03</v>
      </c>
      <c r="D98" s="13">
        <f t="shared" si="3"/>
        <v>6.5012103659528184E-2</v>
      </c>
      <c r="G98" s="3">
        <v>3725.23</v>
      </c>
      <c r="H98" s="19">
        <v>33</v>
      </c>
      <c r="I98" s="4">
        <f t="shared" si="4"/>
        <v>3.8053357728979893E-2</v>
      </c>
      <c r="M98" s="3">
        <v>3725.23</v>
      </c>
      <c r="N98" s="4">
        <v>3.17</v>
      </c>
      <c r="O98" s="4">
        <f t="shared" si="5"/>
        <v>2.9514503505282425E-2</v>
      </c>
    </row>
    <row r="99" spans="2:15" x14ac:dyDescent="0.3">
      <c r="B99" s="3">
        <v>6245.5</v>
      </c>
      <c r="C99" s="3">
        <v>2792.77</v>
      </c>
      <c r="D99" s="13">
        <f t="shared" si="3"/>
        <v>6.5012103659528184E-2</v>
      </c>
      <c r="G99" s="3">
        <v>6245.5</v>
      </c>
      <c r="H99" s="19">
        <v>39</v>
      </c>
      <c r="I99" s="4">
        <f t="shared" si="4"/>
        <v>3.8053357728979893E-2</v>
      </c>
      <c r="M99" s="3">
        <v>6245.5</v>
      </c>
      <c r="N99" s="4">
        <v>4.45</v>
      </c>
      <c r="O99" s="4">
        <f t="shared" si="5"/>
        <v>2.9514503505282425E-2</v>
      </c>
    </row>
    <row r="100" spans="2:15" x14ac:dyDescent="0.3">
      <c r="B100" s="3">
        <v>3715.87</v>
      </c>
      <c r="C100" s="3">
        <v>2842.92</v>
      </c>
      <c r="D100" s="13">
        <f t="shared" si="3"/>
        <v>6.5012103659528184E-2</v>
      </c>
      <c r="G100" s="3">
        <v>3715.87</v>
      </c>
      <c r="H100" s="19">
        <v>95</v>
      </c>
      <c r="I100" s="4">
        <f t="shared" si="4"/>
        <v>3.8053357728979893E-2</v>
      </c>
      <c r="M100" s="3">
        <v>3715.87</v>
      </c>
      <c r="N100" s="4">
        <v>3.36</v>
      </c>
      <c r="O100" s="4">
        <f t="shared" si="5"/>
        <v>2.9514503505282425E-2</v>
      </c>
    </row>
    <row r="101" spans="2:15" x14ac:dyDescent="0.3">
      <c r="B101" s="3">
        <v>5107.3500000000004</v>
      </c>
      <c r="C101" s="3">
        <v>2942.72</v>
      </c>
      <c r="D101" s="13">
        <f t="shared" si="3"/>
        <v>6.5012103659528184E-2</v>
      </c>
      <c r="G101" s="3">
        <v>5107.3500000000004</v>
      </c>
      <c r="H101" s="19">
        <v>16</v>
      </c>
      <c r="I101" s="4">
        <f t="shared" si="4"/>
        <v>3.8053357728979893E-2</v>
      </c>
      <c r="M101" s="3">
        <v>5107.3500000000004</v>
      </c>
      <c r="N101" s="4">
        <v>1.91</v>
      </c>
      <c r="O101" s="4">
        <f t="shared" si="5"/>
        <v>2.9514503505282425E-2</v>
      </c>
    </row>
    <row r="102" spans="2:15" x14ac:dyDescent="0.3">
      <c r="B102" s="3">
        <v>4283.51</v>
      </c>
      <c r="C102" s="3">
        <v>2970.22</v>
      </c>
      <c r="D102" s="13">
        <f t="shared" si="3"/>
        <v>6.5012103659528184E-2</v>
      </c>
      <c r="G102" s="3">
        <v>4283.51</v>
      </c>
      <c r="H102" s="19">
        <v>44</v>
      </c>
      <c r="I102" s="4">
        <f t="shared" si="4"/>
        <v>3.8053357728979893E-2</v>
      </c>
      <c r="M102" s="3">
        <v>4283.51</v>
      </c>
      <c r="N102" s="4">
        <v>2.54</v>
      </c>
      <c r="O102" s="4">
        <f t="shared" si="5"/>
        <v>2.9514503505282425E-2</v>
      </c>
    </row>
    <row r="103" spans="2:15" x14ac:dyDescent="0.3">
      <c r="B103" s="3">
        <v>5718.47</v>
      </c>
      <c r="C103" s="3">
        <v>3582.1</v>
      </c>
      <c r="D103" s="13">
        <f t="shared" si="3"/>
        <v>6.5012103659528184E-2</v>
      </c>
      <c r="G103" s="3">
        <v>5718.47</v>
      </c>
      <c r="H103" s="19">
        <v>64</v>
      </c>
      <c r="I103" s="4">
        <f t="shared" si="4"/>
        <v>3.8053357728979893E-2</v>
      </c>
      <c r="M103" s="3">
        <v>5718.47</v>
      </c>
      <c r="N103" s="4">
        <v>2.8</v>
      </c>
      <c r="O103" s="4">
        <f t="shared" si="5"/>
        <v>2.9514503505282425E-2</v>
      </c>
    </row>
    <row r="104" spans="2:15" x14ac:dyDescent="0.3">
      <c r="B104" s="3">
        <v>5500.49</v>
      </c>
      <c r="C104" s="3">
        <v>3041.56</v>
      </c>
      <c r="D104" s="13">
        <f t="shared" si="3"/>
        <v>6.5012103659528184E-2</v>
      </c>
      <c r="G104" s="3">
        <v>5500.49</v>
      </c>
      <c r="H104" s="19">
        <v>23</v>
      </c>
      <c r="I104" s="4">
        <f t="shared" si="4"/>
        <v>3.8053357728979893E-2</v>
      </c>
      <c r="M104" s="3">
        <v>5500.49</v>
      </c>
      <c r="N104" s="4">
        <v>3.32</v>
      </c>
      <c r="O104" s="4">
        <f t="shared" si="5"/>
        <v>2.9514503505282425E-2</v>
      </c>
    </row>
    <row r="105" spans="2:15" x14ac:dyDescent="0.3">
      <c r="B105" s="3">
        <v>6556.31</v>
      </c>
      <c r="C105" s="3">
        <v>3586.11</v>
      </c>
      <c r="D105" s="13">
        <f t="shared" si="3"/>
        <v>6.5012103659528184E-2</v>
      </c>
      <c r="G105" s="3">
        <v>6556.31</v>
      </c>
      <c r="H105" s="19">
        <v>19</v>
      </c>
      <c r="I105" s="4">
        <f t="shared" si="4"/>
        <v>3.8053357728979893E-2</v>
      </c>
      <c r="M105" s="3">
        <v>6556.31</v>
      </c>
      <c r="N105" s="4">
        <v>4.04</v>
      </c>
      <c r="O105" s="4">
        <f t="shared" si="5"/>
        <v>2.9514503505282425E-2</v>
      </c>
    </row>
    <row r="106" spans="2:15" x14ac:dyDescent="0.3">
      <c r="B106" s="3">
        <v>4234.9799999999996</v>
      </c>
      <c r="C106" s="3">
        <v>2935.43</v>
      </c>
      <c r="D106" s="13">
        <f t="shared" si="3"/>
        <v>6.5012103659528184E-2</v>
      </c>
      <c r="G106" s="3">
        <v>4234.9799999999996</v>
      </c>
      <c r="H106" s="19">
        <v>89</v>
      </c>
      <c r="I106" s="4">
        <f t="shared" si="4"/>
        <v>3.8053357728979893E-2</v>
      </c>
      <c r="M106" s="3">
        <v>4234.9799999999996</v>
      </c>
      <c r="N106" s="4">
        <v>1.4</v>
      </c>
      <c r="O106" s="4">
        <f t="shared" si="5"/>
        <v>2.9514503505282425E-2</v>
      </c>
    </row>
    <row r="107" spans="2:15" x14ac:dyDescent="0.3">
      <c r="B107" s="3">
        <v>4595.1899999999996</v>
      </c>
      <c r="C107" s="3">
        <v>3062.91</v>
      </c>
      <c r="D107" s="13">
        <f t="shared" si="3"/>
        <v>6.5012103659528184E-2</v>
      </c>
      <c r="G107" s="3">
        <v>4595.1899999999996</v>
      </c>
      <c r="H107" s="19">
        <v>25</v>
      </c>
      <c r="I107" s="4">
        <f t="shared" si="4"/>
        <v>3.8053357728979893E-2</v>
      </c>
      <c r="M107" s="3">
        <v>4595.1899999999996</v>
      </c>
      <c r="N107" s="4">
        <v>4.5599999999999996</v>
      </c>
      <c r="O107" s="4">
        <f t="shared" si="5"/>
        <v>2.9514503505282425E-2</v>
      </c>
    </row>
    <row r="108" spans="2:15" x14ac:dyDescent="0.3">
      <c r="B108" s="3">
        <v>3531.85</v>
      </c>
      <c r="C108" s="3">
        <v>1401.44</v>
      </c>
      <c r="D108" s="13">
        <f t="shared" si="3"/>
        <v>6.5012103659528184E-2</v>
      </c>
      <c r="G108" s="3">
        <v>3531.85</v>
      </c>
      <c r="H108" s="19">
        <v>63</v>
      </c>
      <c r="I108" s="4">
        <f t="shared" si="4"/>
        <v>3.8053357728979893E-2</v>
      </c>
      <c r="M108" s="3">
        <v>3531.85</v>
      </c>
      <c r="N108" s="4">
        <v>1.05</v>
      </c>
      <c r="O108" s="4">
        <f t="shared" si="5"/>
        <v>2.9514503505282425E-2</v>
      </c>
    </row>
    <row r="109" spans="2:15" x14ac:dyDescent="0.3">
      <c r="B109" s="3">
        <v>4333.5600000000004</v>
      </c>
      <c r="C109" s="3">
        <v>3733.06</v>
      </c>
      <c r="D109" s="13">
        <f t="shared" si="3"/>
        <v>6.5012103659528184E-2</v>
      </c>
      <c r="G109" s="3">
        <v>4333.5600000000004</v>
      </c>
      <c r="H109" s="19">
        <v>98</v>
      </c>
      <c r="I109" s="4">
        <f t="shared" si="4"/>
        <v>3.8053357728979893E-2</v>
      </c>
      <c r="M109" s="3">
        <v>4333.5600000000004</v>
      </c>
      <c r="N109" s="4">
        <v>2.48</v>
      </c>
      <c r="O109" s="4">
        <f t="shared" si="5"/>
        <v>2.9514503505282425E-2</v>
      </c>
    </row>
    <row r="110" spans="2:15" x14ac:dyDescent="0.3">
      <c r="B110" s="3">
        <v>5565.95</v>
      </c>
      <c r="C110" s="3">
        <v>3277.19</v>
      </c>
      <c r="D110" s="13">
        <f t="shared" si="3"/>
        <v>6.5012103659528184E-2</v>
      </c>
      <c r="G110" s="3">
        <v>5565.95</v>
      </c>
      <c r="H110" s="19">
        <v>86</v>
      </c>
      <c r="I110" s="4">
        <f t="shared" si="4"/>
        <v>3.8053357728979893E-2</v>
      </c>
      <c r="M110" s="3">
        <v>5565.95</v>
      </c>
      <c r="N110" s="4">
        <v>1.1100000000000001</v>
      </c>
      <c r="O110" s="4">
        <f t="shared" si="5"/>
        <v>2.9514503505282425E-2</v>
      </c>
    </row>
    <row r="111" spans="2:15" x14ac:dyDescent="0.3">
      <c r="B111" s="3">
        <v>6135.48</v>
      </c>
      <c r="C111" s="3">
        <v>3798.41</v>
      </c>
      <c r="D111" s="13">
        <f t="shared" si="3"/>
        <v>6.5012103659528184E-2</v>
      </c>
      <c r="G111" s="3">
        <v>6135.48</v>
      </c>
      <c r="H111" s="19">
        <v>79</v>
      </c>
      <c r="I111" s="4">
        <f t="shared" si="4"/>
        <v>3.8053357728979893E-2</v>
      </c>
      <c r="M111" s="3">
        <v>6135.48</v>
      </c>
      <c r="N111" s="4">
        <v>2.57</v>
      </c>
      <c r="O111" s="4">
        <f t="shared" si="5"/>
        <v>2.9514503505282425E-2</v>
      </c>
    </row>
    <row r="112" spans="2:15" x14ac:dyDescent="0.3">
      <c r="B112" s="3">
        <v>3616.75</v>
      </c>
      <c r="C112" s="3">
        <v>683</v>
      </c>
      <c r="D112" s="13">
        <f t="shared" si="3"/>
        <v>6.5012103659528184E-2</v>
      </c>
      <c r="G112" s="3">
        <v>3616.75</v>
      </c>
      <c r="H112" s="19">
        <v>53</v>
      </c>
      <c r="I112" s="4">
        <f t="shared" si="4"/>
        <v>3.8053357728979893E-2</v>
      </c>
      <c r="M112" s="3">
        <v>3616.75</v>
      </c>
      <c r="N112" s="4">
        <v>3.1</v>
      </c>
      <c r="O112" s="4">
        <f t="shared" si="5"/>
        <v>2.9514503505282425E-2</v>
      </c>
    </row>
    <row r="113" spans="2:15" x14ac:dyDescent="0.3">
      <c r="B113" s="3">
        <v>6304.41</v>
      </c>
      <c r="C113" s="3">
        <v>4670.7</v>
      </c>
      <c r="D113" s="13">
        <f t="shared" si="3"/>
        <v>6.5012103659528184E-2</v>
      </c>
      <c r="G113" s="3">
        <v>6304.41</v>
      </c>
      <c r="H113" s="19">
        <v>82</v>
      </c>
      <c r="I113" s="4">
        <f t="shared" si="4"/>
        <v>3.8053357728979893E-2</v>
      </c>
      <c r="M113" s="3">
        <v>6304.41</v>
      </c>
      <c r="N113" s="4">
        <v>3.05</v>
      </c>
      <c r="O113" s="4">
        <f t="shared" si="5"/>
        <v>2.9514503505282425E-2</v>
      </c>
    </row>
    <row r="114" spans="2:15" x14ac:dyDescent="0.3">
      <c r="B114" s="3">
        <v>7033.46</v>
      </c>
      <c r="C114" s="3">
        <v>2888.33</v>
      </c>
      <c r="D114" s="13">
        <f t="shared" si="3"/>
        <v>6.5012103659528184E-2</v>
      </c>
      <c r="G114" s="3">
        <v>7033.46</v>
      </c>
      <c r="H114" s="19">
        <v>54</v>
      </c>
      <c r="I114" s="4">
        <f t="shared" si="4"/>
        <v>3.8053357728979893E-2</v>
      </c>
      <c r="M114" s="3">
        <v>7033.46</v>
      </c>
      <c r="N114" s="4">
        <v>1.66</v>
      </c>
      <c r="O114" s="4">
        <f t="shared" si="5"/>
        <v>2.9514503505282425E-2</v>
      </c>
    </row>
    <row r="115" spans="2:15" x14ac:dyDescent="0.3">
      <c r="B115" s="3">
        <v>5620.15</v>
      </c>
      <c r="C115" s="3">
        <v>3886.55</v>
      </c>
      <c r="D115" s="13">
        <f t="shared" si="3"/>
        <v>6.5012103659528184E-2</v>
      </c>
      <c r="G115" s="3">
        <v>5620.15</v>
      </c>
      <c r="H115" s="19">
        <v>65</v>
      </c>
      <c r="I115" s="4">
        <f t="shared" si="4"/>
        <v>3.8053357728979893E-2</v>
      </c>
      <c r="M115" s="3">
        <v>5620.15</v>
      </c>
      <c r="N115" s="4">
        <v>3.58</v>
      </c>
      <c r="O115" s="4">
        <f t="shared" si="5"/>
        <v>2.9514503505282425E-2</v>
      </c>
    </row>
    <row r="116" spans="2:15" x14ac:dyDescent="0.3">
      <c r="B116" s="3">
        <v>7815.19</v>
      </c>
      <c r="C116" s="3">
        <v>2168.08</v>
      </c>
      <c r="D116" s="13">
        <f t="shared" si="3"/>
        <v>6.5012103659528184E-2</v>
      </c>
      <c r="G116" s="3">
        <v>7815.19</v>
      </c>
      <c r="H116" s="19">
        <v>93</v>
      </c>
      <c r="I116" s="4">
        <f t="shared" si="4"/>
        <v>3.8053357728979893E-2</v>
      </c>
      <c r="M116" s="3">
        <v>7815.19</v>
      </c>
      <c r="N116" s="4">
        <v>1.18</v>
      </c>
      <c r="O116" s="4">
        <f t="shared" si="5"/>
        <v>2.9514503505282425E-2</v>
      </c>
    </row>
    <row r="117" spans="2:15" x14ac:dyDescent="0.3">
      <c r="B117" s="3">
        <v>3839.32</v>
      </c>
      <c r="C117" s="3">
        <v>3490.22</v>
      </c>
      <c r="D117" s="13">
        <f t="shared" si="3"/>
        <v>6.5012103659528184E-2</v>
      </c>
      <c r="G117" s="3">
        <v>3839.32</v>
      </c>
      <c r="H117" s="19">
        <v>91</v>
      </c>
      <c r="I117" s="4">
        <f t="shared" si="4"/>
        <v>3.8053357728979893E-2</v>
      </c>
      <c r="M117" s="3">
        <v>3839.32</v>
      </c>
      <c r="N117" s="4">
        <v>4.05</v>
      </c>
      <c r="O117" s="4">
        <f t="shared" si="5"/>
        <v>2.9514503505282425E-2</v>
      </c>
    </row>
    <row r="118" spans="2:15" x14ac:dyDescent="0.3">
      <c r="B118" s="3">
        <v>3133.02</v>
      </c>
      <c r="C118" s="3">
        <v>2157.27</v>
      </c>
      <c r="D118" s="13">
        <f t="shared" si="3"/>
        <v>6.5012103659528184E-2</v>
      </c>
      <c r="G118" s="3">
        <v>3133.02</v>
      </c>
      <c r="H118" s="19">
        <v>66</v>
      </c>
      <c r="I118" s="4">
        <f t="shared" si="4"/>
        <v>3.8053357728979893E-2</v>
      </c>
      <c r="M118" s="3">
        <v>3133.02</v>
      </c>
      <c r="N118" s="4">
        <v>4.79</v>
      </c>
      <c r="O118" s="4">
        <f t="shared" si="5"/>
        <v>2.9514503505282425E-2</v>
      </c>
    </row>
    <row r="119" spans="2:15" x14ac:dyDescent="0.3">
      <c r="B119" s="3">
        <v>2331.92</v>
      </c>
      <c r="C119" s="3">
        <v>2500.98</v>
      </c>
      <c r="D119" s="13">
        <f t="shared" si="3"/>
        <v>6.5012103659528184E-2</v>
      </c>
      <c r="G119" s="3">
        <v>2331.92</v>
      </c>
      <c r="H119" s="19">
        <v>30</v>
      </c>
      <c r="I119" s="4">
        <f t="shared" si="4"/>
        <v>3.8053357728979893E-2</v>
      </c>
      <c r="M119" s="3">
        <v>2331.92</v>
      </c>
      <c r="N119" s="4">
        <v>2.36</v>
      </c>
      <c r="O119" s="4">
        <f t="shared" si="5"/>
        <v>2.9514503505282425E-2</v>
      </c>
    </row>
    <row r="120" spans="2:15" x14ac:dyDescent="0.3">
      <c r="B120" s="3">
        <v>7244.07</v>
      </c>
      <c r="C120" s="3">
        <v>4531.2299999999996</v>
      </c>
      <c r="D120" s="13">
        <f t="shared" si="3"/>
        <v>6.5012103659528184E-2</v>
      </c>
      <c r="G120" s="3">
        <v>7244.07</v>
      </c>
      <c r="H120" s="19">
        <v>77</v>
      </c>
      <c r="I120" s="4">
        <f t="shared" si="4"/>
        <v>3.8053357728979893E-2</v>
      </c>
      <c r="M120" s="3">
        <v>7244.07</v>
      </c>
      <c r="N120" s="4">
        <v>3.07</v>
      </c>
      <c r="O120" s="4">
        <f t="shared" si="5"/>
        <v>2.9514503505282425E-2</v>
      </c>
    </row>
    <row r="121" spans="2:15" x14ac:dyDescent="0.3">
      <c r="B121" s="3">
        <v>5981.55</v>
      </c>
      <c r="C121" s="3">
        <v>2847.45</v>
      </c>
      <c r="D121" s="13">
        <f t="shared" si="3"/>
        <v>6.5012103659528184E-2</v>
      </c>
      <c r="G121" s="3">
        <v>5981.55</v>
      </c>
      <c r="H121" s="19">
        <v>59</v>
      </c>
      <c r="I121" s="4">
        <f t="shared" si="4"/>
        <v>3.8053357728979893E-2</v>
      </c>
      <c r="M121" s="3">
        <v>5981.55</v>
      </c>
      <c r="N121" s="4">
        <v>2.52</v>
      </c>
      <c r="O121" s="4">
        <f t="shared" si="5"/>
        <v>2.9514503505282425E-2</v>
      </c>
    </row>
    <row r="122" spans="2:15" x14ac:dyDescent="0.3">
      <c r="B122" s="3">
        <v>4916.62</v>
      </c>
      <c r="C122" s="3">
        <v>3173.95</v>
      </c>
      <c r="D122" s="13">
        <f t="shared" si="3"/>
        <v>6.5012103659528184E-2</v>
      </c>
      <c r="G122" s="3">
        <v>4916.62</v>
      </c>
      <c r="H122" s="19">
        <v>42</v>
      </c>
      <c r="I122" s="4">
        <f t="shared" si="4"/>
        <v>3.8053357728979893E-2</v>
      </c>
      <c r="M122" s="3">
        <v>4916.62</v>
      </c>
      <c r="N122" s="4">
        <v>1.03</v>
      </c>
      <c r="O122" s="4">
        <f t="shared" si="5"/>
        <v>2.9514503505282425E-2</v>
      </c>
    </row>
    <row r="123" spans="2:15" x14ac:dyDescent="0.3">
      <c r="B123" s="3">
        <v>5419.95</v>
      </c>
      <c r="C123" s="3">
        <v>3696.05</v>
      </c>
      <c r="D123" s="13">
        <f t="shared" si="3"/>
        <v>6.5012103659528184E-2</v>
      </c>
      <c r="G123" s="3">
        <v>5419.95</v>
      </c>
      <c r="H123" s="19">
        <v>16</v>
      </c>
      <c r="I123" s="4">
        <f t="shared" si="4"/>
        <v>3.8053357728979893E-2</v>
      </c>
      <c r="M123" s="3">
        <v>5419.95</v>
      </c>
      <c r="N123" s="4">
        <v>2.54</v>
      </c>
      <c r="O123" s="4">
        <f t="shared" si="5"/>
        <v>2.9514503505282425E-2</v>
      </c>
    </row>
    <row r="124" spans="2:15" x14ac:dyDescent="0.3">
      <c r="B124" s="3">
        <v>3311.77</v>
      </c>
      <c r="C124" s="3">
        <v>3396.55</v>
      </c>
      <c r="D124" s="13">
        <f t="shared" si="3"/>
        <v>6.5012103659528184E-2</v>
      </c>
      <c r="G124" s="3">
        <v>3311.77</v>
      </c>
      <c r="H124" s="19">
        <v>79</v>
      </c>
      <c r="I124" s="4">
        <f t="shared" si="4"/>
        <v>3.8053357728979893E-2</v>
      </c>
      <c r="M124" s="3">
        <v>3311.77</v>
      </c>
      <c r="N124" s="4">
        <v>4.17</v>
      </c>
      <c r="O124" s="4">
        <f t="shared" si="5"/>
        <v>2.9514503505282425E-2</v>
      </c>
    </row>
    <row r="125" spans="2:15" x14ac:dyDescent="0.3">
      <c r="B125" s="3">
        <v>8668.6299999999992</v>
      </c>
      <c r="C125" s="3">
        <v>3120.34</v>
      </c>
      <c r="D125" s="13">
        <f t="shared" si="3"/>
        <v>6.5012103659528184E-2</v>
      </c>
      <c r="G125" s="3">
        <v>8668.6299999999992</v>
      </c>
      <c r="H125" s="19">
        <v>24</v>
      </c>
      <c r="I125" s="4">
        <f t="shared" si="4"/>
        <v>3.8053357728979893E-2</v>
      </c>
      <c r="M125" s="3">
        <v>8668.6299999999992</v>
      </c>
      <c r="N125" s="4">
        <v>3.38</v>
      </c>
      <c r="O125" s="4">
        <f t="shared" si="5"/>
        <v>2.9514503505282425E-2</v>
      </c>
    </row>
    <row r="126" spans="2:15" x14ac:dyDescent="0.3">
      <c r="B126" s="3">
        <v>5193.83</v>
      </c>
      <c r="C126" s="3">
        <v>3291.97</v>
      </c>
      <c r="D126" s="13">
        <f t="shared" si="3"/>
        <v>6.5012103659528184E-2</v>
      </c>
      <c r="G126" s="3">
        <v>5193.83</v>
      </c>
      <c r="H126" s="19">
        <v>91</v>
      </c>
      <c r="I126" s="4">
        <f t="shared" si="4"/>
        <v>3.8053357728979893E-2</v>
      </c>
      <c r="M126" s="3">
        <v>5193.83</v>
      </c>
      <c r="N126" s="4">
        <v>1.41</v>
      </c>
      <c r="O126" s="4">
        <f t="shared" si="5"/>
        <v>2.9514503505282425E-2</v>
      </c>
    </row>
    <row r="127" spans="2:15" x14ac:dyDescent="0.3">
      <c r="B127" s="3">
        <v>5164.09</v>
      </c>
      <c r="C127" s="3">
        <v>4922.7299999999996</v>
      </c>
      <c r="D127" s="13">
        <f t="shared" si="3"/>
        <v>6.5012103659528184E-2</v>
      </c>
      <c r="G127" s="3">
        <v>5164.09</v>
      </c>
      <c r="H127" s="19">
        <v>41</v>
      </c>
      <c r="I127" s="4">
        <f t="shared" si="4"/>
        <v>3.8053357728979893E-2</v>
      </c>
      <c r="M127" s="3">
        <v>5164.09</v>
      </c>
      <c r="N127" s="4">
        <v>4.3899999999999997</v>
      </c>
      <c r="O127" s="4">
        <f t="shared" si="5"/>
        <v>2.9514503505282425E-2</v>
      </c>
    </row>
    <row r="128" spans="2:15" x14ac:dyDescent="0.3">
      <c r="B128" s="3">
        <v>6088.65</v>
      </c>
      <c r="C128" s="3">
        <v>2953.9</v>
      </c>
      <c r="D128" s="13">
        <f t="shared" si="3"/>
        <v>6.5012103659528184E-2</v>
      </c>
      <c r="G128" s="3">
        <v>6088.65</v>
      </c>
      <c r="H128" s="19">
        <v>84</v>
      </c>
      <c r="I128" s="4">
        <f t="shared" si="4"/>
        <v>3.8053357728979893E-2</v>
      </c>
      <c r="M128" s="3">
        <v>6088.65</v>
      </c>
      <c r="N128" s="4">
        <v>3.12</v>
      </c>
      <c r="O128" s="4">
        <f t="shared" si="5"/>
        <v>2.9514503505282425E-2</v>
      </c>
    </row>
    <row r="129" spans="2:15" x14ac:dyDescent="0.3">
      <c r="B129" s="3">
        <v>5721.51</v>
      </c>
      <c r="C129" s="3">
        <v>3160.88</v>
      </c>
      <c r="D129" s="13">
        <f t="shared" si="3"/>
        <v>6.5012103659528184E-2</v>
      </c>
      <c r="G129" s="3">
        <v>5721.51</v>
      </c>
      <c r="H129" s="19">
        <v>29</v>
      </c>
      <c r="I129" s="4">
        <f t="shared" si="4"/>
        <v>3.8053357728979893E-2</v>
      </c>
      <c r="M129" s="3">
        <v>5721.51</v>
      </c>
      <c r="N129" s="4">
        <v>4.37</v>
      </c>
      <c r="O129" s="4">
        <f t="shared" si="5"/>
        <v>2.9514503505282425E-2</v>
      </c>
    </row>
    <row r="130" spans="2:15" x14ac:dyDescent="0.3">
      <c r="B130" s="3">
        <v>5335.83</v>
      </c>
      <c r="C130" s="3">
        <v>3840.52</v>
      </c>
      <c r="D130" s="13">
        <f t="shared" si="3"/>
        <v>6.5012103659528184E-2</v>
      </c>
      <c r="G130" s="3">
        <v>5335.83</v>
      </c>
      <c r="H130" s="19">
        <v>97</v>
      </c>
      <c r="I130" s="4">
        <f t="shared" si="4"/>
        <v>3.8053357728979893E-2</v>
      </c>
      <c r="M130" s="3">
        <v>5335.83</v>
      </c>
      <c r="N130" s="4">
        <v>3.32</v>
      </c>
      <c r="O130" s="4">
        <f t="shared" si="5"/>
        <v>2.9514503505282425E-2</v>
      </c>
    </row>
    <row r="131" spans="2:15" x14ac:dyDescent="0.3">
      <c r="B131" s="3">
        <v>3814.29</v>
      </c>
      <c r="C131" s="3">
        <v>3884.42</v>
      </c>
      <c r="D131" s="13">
        <f t="shared" si="3"/>
        <v>6.5012103659528184E-2</v>
      </c>
      <c r="G131" s="3">
        <v>3814.29</v>
      </c>
      <c r="H131" s="19">
        <v>24</v>
      </c>
      <c r="I131" s="4">
        <f t="shared" si="4"/>
        <v>3.8053357728979893E-2</v>
      </c>
      <c r="M131" s="3">
        <v>3814.29</v>
      </c>
      <c r="N131" s="4">
        <v>3.24</v>
      </c>
      <c r="O131" s="4">
        <f t="shared" si="5"/>
        <v>2.9514503505282425E-2</v>
      </c>
    </row>
    <row r="132" spans="2:15" x14ac:dyDescent="0.3">
      <c r="B132" s="3">
        <v>5707.2</v>
      </c>
      <c r="C132" s="3">
        <v>3949.62</v>
      </c>
      <c r="D132" s="13">
        <f t="shared" si="3"/>
        <v>6.5012103659528184E-2</v>
      </c>
      <c r="G132" s="3">
        <v>5707.2</v>
      </c>
      <c r="H132" s="19">
        <v>57</v>
      </c>
      <c r="I132" s="4">
        <f t="shared" si="4"/>
        <v>3.8053357728979893E-2</v>
      </c>
      <c r="M132" s="3">
        <v>5707.2</v>
      </c>
      <c r="N132" s="4">
        <v>1.42</v>
      </c>
      <c r="O132" s="4">
        <f t="shared" si="5"/>
        <v>2.9514503505282425E-2</v>
      </c>
    </row>
    <row r="133" spans="2:15" x14ac:dyDescent="0.3">
      <c r="B133" s="3">
        <v>7823.04</v>
      </c>
      <c r="C133" s="3">
        <v>3510.98</v>
      </c>
      <c r="D133" s="13">
        <f t="shared" si="3"/>
        <v>6.5012103659528184E-2</v>
      </c>
      <c r="G133" s="3">
        <v>7823.04</v>
      </c>
      <c r="H133" s="19">
        <v>80</v>
      </c>
      <c r="I133" s="4">
        <f t="shared" si="4"/>
        <v>3.8053357728979893E-2</v>
      </c>
      <c r="M133" s="3">
        <v>7823.04</v>
      </c>
      <c r="N133" s="4">
        <v>1.67</v>
      </c>
      <c r="O133" s="4">
        <f t="shared" si="5"/>
        <v>2.9514503505282425E-2</v>
      </c>
    </row>
    <row r="134" spans="2:15" x14ac:dyDescent="0.3">
      <c r="B134" s="3">
        <v>7018.13</v>
      </c>
      <c r="C134" s="3">
        <v>2085.6</v>
      </c>
      <c r="D134" s="13">
        <f t="shared" ref="D134:D197" si="6">CORREL(B:B,C:C)</f>
        <v>6.5012103659528184E-2</v>
      </c>
      <c r="G134" s="3">
        <v>7018.13</v>
      </c>
      <c r="H134" s="19">
        <v>30</v>
      </c>
      <c r="I134" s="4">
        <f t="shared" ref="I134:I197" si="7">CORREL(G:G,H:H)</f>
        <v>3.8053357728979893E-2</v>
      </c>
      <c r="M134" s="3">
        <v>7018.13</v>
      </c>
      <c r="N134" s="4">
        <v>4.8899999999999997</v>
      </c>
      <c r="O134" s="4">
        <f t="shared" ref="O134:O197" si="8">CORREL(M:M,N:N)</f>
        <v>2.9514503505282425E-2</v>
      </c>
    </row>
    <row r="135" spans="2:15" x14ac:dyDescent="0.3">
      <c r="B135" s="3">
        <v>7389.78</v>
      </c>
      <c r="C135" s="3">
        <v>4306.75</v>
      </c>
      <c r="D135" s="13">
        <f t="shared" si="6"/>
        <v>6.5012103659528184E-2</v>
      </c>
      <c r="G135" s="3">
        <v>7389.78</v>
      </c>
      <c r="H135" s="19">
        <v>51</v>
      </c>
      <c r="I135" s="4">
        <f t="shared" si="7"/>
        <v>3.8053357728979893E-2</v>
      </c>
      <c r="M135" s="3">
        <v>7389.78</v>
      </c>
      <c r="N135" s="4">
        <v>1.91</v>
      </c>
      <c r="O135" s="4">
        <f t="shared" si="8"/>
        <v>2.9514503505282425E-2</v>
      </c>
    </row>
    <row r="136" spans="2:15" x14ac:dyDescent="0.3">
      <c r="B136" s="3">
        <v>4233.18</v>
      </c>
      <c r="C136" s="3">
        <v>2082.92</v>
      </c>
      <c r="D136" s="13">
        <f t="shared" si="6"/>
        <v>6.5012103659528184E-2</v>
      </c>
      <c r="G136" s="3">
        <v>4233.18</v>
      </c>
      <c r="H136" s="19">
        <v>35</v>
      </c>
      <c r="I136" s="4">
        <f t="shared" si="7"/>
        <v>3.8053357728979893E-2</v>
      </c>
      <c r="M136" s="3">
        <v>4233.18</v>
      </c>
      <c r="N136" s="4">
        <v>4.91</v>
      </c>
      <c r="O136" s="4">
        <f t="shared" si="8"/>
        <v>2.9514503505282425E-2</v>
      </c>
    </row>
    <row r="137" spans="2:15" x14ac:dyDescent="0.3">
      <c r="B137" s="3">
        <v>3515.59</v>
      </c>
      <c r="C137" s="3">
        <v>3242.11</v>
      </c>
      <c r="D137" s="13">
        <f t="shared" si="6"/>
        <v>6.5012103659528184E-2</v>
      </c>
      <c r="G137" s="3">
        <v>3515.59</v>
      </c>
      <c r="H137" s="19">
        <v>23</v>
      </c>
      <c r="I137" s="4">
        <f t="shared" si="7"/>
        <v>3.8053357728979893E-2</v>
      </c>
      <c r="M137" s="3">
        <v>3515.59</v>
      </c>
      <c r="N137" s="4">
        <v>3.13</v>
      </c>
      <c r="O137" s="4">
        <f t="shared" si="8"/>
        <v>2.9514503505282425E-2</v>
      </c>
    </row>
    <row r="138" spans="2:15" x14ac:dyDescent="0.3">
      <c r="B138" s="3">
        <v>4811.32</v>
      </c>
      <c r="C138" s="3">
        <v>2396.58</v>
      </c>
      <c r="D138" s="13">
        <f t="shared" si="6"/>
        <v>6.5012103659528184E-2</v>
      </c>
      <c r="G138" s="3">
        <v>4811.32</v>
      </c>
      <c r="H138" s="19">
        <v>66</v>
      </c>
      <c r="I138" s="4">
        <f t="shared" si="7"/>
        <v>3.8053357728979893E-2</v>
      </c>
      <c r="M138" s="3">
        <v>4811.32</v>
      </c>
      <c r="N138" s="4">
        <v>1.54</v>
      </c>
      <c r="O138" s="4">
        <f t="shared" si="8"/>
        <v>2.9514503505282425E-2</v>
      </c>
    </row>
    <row r="139" spans="2:15" x14ac:dyDescent="0.3">
      <c r="B139" s="3">
        <v>5083.59</v>
      </c>
      <c r="C139" s="3">
        <v>2948.69</v>
      </c>
      <c r="D139" s="13">
        <f t="shared" si="6"/>
        <v>6.5012103659528184E-2</v>
      </c>
      <c r="G139" s="3">
        <v>5083.59</v>
      </c>
      <c r="H139" s="19">
        <v>46</v>
      </c>
      <c r="I139" s="4">
        <f t="shared" si="7"/>
        <v>3.8053357728979893E-2</v>
      </c>
      <c r="M139" s="3">
        <v>5083.59</v>
      </c>
      <c r="N139" s="4">
        <v>1.4</v>
      </c>
      <c r="O139" s="4">
        <f t="shared" si="8"/>
        <v>2.9514503505282425E-2</v>
      </c>
    </row>
    <row r="140" spans="2:15" x14ac:dyDescent="0.3">
      <c r="B140" s="3">
        <v>6641.29</v>
      </c>
      <c r="C140" s="3">
        <v>3263.01</v>
      </c>
      <c r="D140" s="13">
        <f t="shared" si="6"/>
        <v>6.5012103659528184E-2</v>
      </c>
      <c r="G140" s="3">
        <v>6641.29</v>
      </c>
      <c r="H140" s="19">
        <v>67</v>
      </c>
      <c r="I140" s="4">
        <f t="shared" si="7"/>
        <v>3.8053357728979893E-2</v>
      </c>
      <c r="M140" s="3">
        <v>6641.29</v>
      </c>
      <c r="N140" s="4">
        <v>1.84</v>
      </c>
      <c r="O140" s="4">
        <f t="shared" si="8"/>
        <v>2.9514503505282425E-2</v>
      </c>
    </row>
    <row r="141" spans="2:15" x14ac:dyDescent="0.3">
      <c r="B141" s="3">
        <v>2461.3000000000002</v>
      </c>
      <c r="C141" s="3">
        <v>3257.09</v>
      </c>
      <c r="D141" s="13">
        <f t="shared" si="6"/>
        <v>6.5012103659528184E-2</v>
      </c>
      <c r="G141" s="3">
        <v>2461.3000000000002</v>
      </c>
      <c r="H141" s="19">
        <v>30</v>
      </c>
      <c r="I141" s="4">
        <f t="shared" si="7"/>
        <v>3.8053357728979893E-2</v>
      </c>
      <c r="M141" s="3">
        <v>2461.3000000000002</v>
      </c>
      <c r="N141" s="4">
        <v>4.7</v>
      </c>
      <c r="O141" s="4">
        <f t="shared" si="8"/>
        <v>2.9514503505282425E-2</v>
      </c>
    </row>
    <row r="142" spans="2:15" x14ac:dyDescent="0.3">
      <c r="B142" s="3">
        <v>7294.33</v>
      </c>
      <c r="C142" s="3">
        <v>3337.54</v>
      </c>
      <c r="D142" s="13">
        <f t="shared" si="6"/>
        <v>6.5012103659528184E-2</v>
      </c>
      <c r="G142" s="3">
        <v>7294.33</v>
      </c>
      <c r="H142" s="19">
        <v>91</v>
      </c>
      <c r="I142" s="4">
        <f t="shared" si="7"/>
        <v>3.8053357728979893E-2</v>
      </c>
      <c r="M142" s="3">
        <v>7294.33</v>
      </c>
      <c r="N142" s="4">
        <v>2.66</v>
      </c>
      <c r="O142" s="4">
        <f t="shared" si="8"/>
        <v>2.9514503505282425E-2</v>
      </c>
    </row>
    <row r="143" spans="2:15" x14ac:dyDescent="0.3">
      <c r="B143" s="3">
        <v>4762.99</v>
      </c>
      <c r="C143" s="3">
        <v>4290.97</v>
      </c>
      <c r="D143" s="13">
        <f t="shared" si="6"/>
        <v>6.5012103659528184E-2</v>
      </c>
      <c r="G143" s="3">
        <v>4762.99</v>
      </c>
      <c r="H143" s="19">
        <v>78</v>
      </c>
      <c r="I143" s="4">
        <f t="shared" si="7"/>
        <v>3.8053357728979893E-2</v>
      </c>
      <c r="M143" s="3">
        <v>4762.99</v>
      </c>
      <c r="N143" s="4">
        <v>2.58</v>
      </c>
      <c r="O143" s="4">
        <f t="shared" si="8"/>
        <v>2.9514503505282425E-2</v>
      </c>
    </row>
    <row r="144" spans="2:15" x14ac:dyDescent="0.3">
      <c r="B144" s="3">
        <v>4359.68</v>
      </c>
      <c r="C144" s="3">
        <v>3362.83</v>
      </c>
      <c r="D144" s="13">
        <f t="shared" si="6"/>
        <v>6.5012103659528184E-2</v>
      </c>
      <c r="G144" s="3">
        <v>4359.68</v>
      </c>
      <c r="H144" s="19">
        <v>12</v>
      </c>
      <c r="I144" s="4">
        <f t="shared" si="7"/>
        <v>3.8053357728979893E-2</v>
      </c>
      <c r="M144" s="3">
        <v>4359.68</v>
      </c>
      <c r="N144" s="4">
        <v>2.25</v>
      </c>
      <c r="O144" s="4">
        <f t="shared" si="8"/>
        <v>2.9514503505282425E-2</v>
      </c>
    </row>
    <row r="145" spans="2:15" x14ac:dyDescent="0.3">
      <c r="B145" s="3">
        <v>3481.84</v>
      </c>
      <c r="C145" s="3">
        <v>2804.67</v>
      </c>
      <c r="D145" s="13">
        <f t="shared" si="6"/>
        <v>6.5012103659528184E-2</v>
      </c>
      <c r="G145" s="3">
        <v>3481.84</v>
      </c>
      <c r="H145" s="19">
        <v>96</v>
      </c>
      <c r="I145" s="4">
        <f t="shared" si="7"/>
        <v>3.8053357728979893E-2</v>
      </c>
      <c r="M145" s="3">
        <v>3481.84</v>
      </c>
      <c r="N145" s="4">
        <v>1.59</v>
      </c>
      <c r="O145" s="4">
        <f t="shared" si="8"/>
        <v>2.9514503505282425E-2</v>
      </c>
    </row>
    <row r="146" spans="2:15" x14ac:dyDescent="0.3">
      <c r="B146" s="3">
        <v>2517.71</v>
      </c>
      <c r="C146" s="3">
        <v>3771.27</v>
      </c>
      <c r="D146" s="13">
        <f t="shared" si="6"/>
        <v>6.5012103659528184E-2</v>
      </c>
      <c r="G146" s="3">
        <v>2517.71</v>
      </c>
      <c r="H146" s="19">
        <v>99</v>
      </c>
      <c r="I146" s="4">
        <f t="shared" si="7"/>
        <v>3.8053357728979893E-2</v>
      </c>
      <c r="M146" s="3">
        <v>2517.71</v>
      </c>
      <c r="N146" s="4">
        <v>2.95</v>
      </c>
      <c r="O146" s="4">
        <f t="shared" si="8"/>
        <v>2.9514503505282425E-2</v>
      </c>
    </row>
    <row r="147" spans="2:15" x14ac:dyDescent="0.3">
      <c r="B147" s="3">
        <v>6234.76</v>
      </c>
      <c r="C147" s="3">
        <v>3951.58</v>
      </c>
      <c r="D147" s="13">
        <f t="shared" si="6"/>
        <v>6.5012103659528184E-2</v>
      </c>
      <c r="G147" s="3">
        <v>6234.76</v>
      </c>
      <c r="H147" s="19">
        <v>46</v>
      </c>
      <c r="I147" s="4">
        <f t="shared" si="7"/>
        <v>3.8053357728979893E-2</v>
      </c>
      <c r="M147" s="3">
        <v>6234.76</v>
      </c>
      <c r="N147" s="4">
        <v>1.52</v>
      </c>
      <c r="O147" s="4">
        <f t="shared" si="8"/>
        <v>2.9514503505282425E-2</v>
      </c>
    </row>
    <row r="148" spans="2:15" x14ac:dyDescent="0.3">
      <c r="B148" s="3">
        <v>5109.9799999999996</v>
      </c>
      <c r="C148" s="3">
        <v>2017.91</v>
      </c>
      <c r="D148" s="13">
        <f t="shared" si="6"/>
        <v>6.5012103659528184E-2</v>
      </c>
      <c r="G148" s="3">
        <v>5109.9799999999996</v>
      </c>
      <c r="H148" s="19">
        <v>97</v>
      </c>
      <c r="I148" s="4">
        <f t="shared" si="7"/>
        <v>3.8053357728979893E-2</v>
      </c>
      <c r="M148" s="3">
        <v>5109.9799999999996</v>
      </c>
      <c r="N148" s="4">
        <v>4.34</v>
      </c>
      <c r="O148" s="4">
        <f t="shared" si="8"/>
        <v>2.9514503505282425E-2</v>
      </c>
    </row>
    <row r="149" spans="2:15" x14ac:dyDescent="0.3">
      <c r="B149" s="3">
        <v>3065.06</v>
      </c>
      <c r="C149" s="3">
        <v>3477.92</v>
      </c>
      <c r="D149" s="13">
        <f t="shared" si="6"/>
        <v>6.5012103659528184E-2</v>
      </c>
      <c r="G149" s="3">
        <v>3065.06</v>
      </c>
      <c r="H149" s="19">
        <v>58</v>
      </c>
      <c r="I149" s="4">
        <f t="shared" si="7"/>
        <v>3.8053357728979893E-2</v>
      </c>
      <c r="M149" s="3">
        <v>3065.06</v>
      </c>
      <c r="N149" s="4">
        <v>2.48</v>
      </c>
      <c r="O149" s="4">
        <f t="shared" si="8"/>
        <v>2.9514503505282425E-2</v>
      </c>
    </row>
    <row r="150" spans="2:15" x14ac:dyDescent="0.3">
      <c r="B150" s="3">
        <v>3057.38</v>
      </c>
      <c r="C150" s="3">
        <v>3560.94</v>
      </c>
      <c r="D150" s="13">
        <f t="shared" si="6"/>
        <v>6.5012103659528184E-2</v>
      </c>
      <c r="G150" s="3">
        <v>3057.38</v>
      </c>
      <c r="H150" s="19">
        <v>28</v>
      </c>
      <c r="I150" s="4">
        <f t="shared" si="7"/>
        <v>3.8053357728979893E-2</v>
      </c>
      <c r="M150" s="3">
        <v>3057.38</v>
      </c>
      <c r="N150" s="4">
        <v>2.5</v>
      </c>
      <c r="O150" s="4">
        <f t="shared" si="8"/>
        <v>2.9514503505282425E-2</v>
      </c>
    </row>
    <row r="151" spans="2:15" x14ac:dyDescent="0.3">
      <c r="B151" s="3">
        <v>4496.32</v>
      </c>
      <c r="C151" s="3">
        <v>2761.95</v>
      </c>
      <c r="D151" s="13">
        <f t="shared" si="6"/>
        <v>6.5012103659528184E-2</v>
      </c>
      <c r="G151" s="3">
        <v>4496.32</v>
      </c>
      <c r="H151" s="19">
        <v>98</v>
      </c>
      <c r="I151" s="4">
        <f t="shared" si="7"/>
        <v>3.8053357728979893E-2</v>
      </c>
      <c r="M151" s="3">
        <v>4496.32</v>
      </c>
      <c r="N151" s="4">
        <v>2.9</v>
      </c>
      <c r="O151" s="4">
        <f t="shared" si="8"/>
        <v>2.9514503505282425E-2</v>
      </c>
    </row>
    <row r="152" spans="2:15" x14ac:dyDescent="0.3">
      <c r="B152" s="3">
        <v>7503.53</v>
      </c>
      <c r="C152" s="3">
        <v>4100.57</v>
      </c>
      <c r="D152" s="13">
        <f t="shared" si="6"/>
        <v>6.5012103659528184E-2</v>
      </c>
      <c r="G152" s="3">
        <v>7503.53</v>
      </c>
      <c r="H152" s="19">
        <v>94</v>
      </c>
      <c r="I152" s="4">
        <f t="shared" si="7"/>
        <v>3.8053357728979893E-2</v>
      </c>
      <c r="M152" s="3">
        <v>7503.53</v>
      </c>
      <c r="N152" s="4">
        <v>2.78</v>
      </c>
      <c r="O152" s="4">
        <f t="shared" si="8"/>
        <v>2.9514503505282425E-2</v>
      </c>
    </row>
    <row r="153" spans="2:15" x14ac:dyDescent="0.3">
      <c r="B153" s="3">
        <v>4610.6099999999997</v>
      </c>
      <c r="C153" s="3">
        <v>2879.96</v>
      </c>
      <c r="D153" s="13">
        <f t="shared" si="6"/>
        <v>6.5012103659528184E-2</v>
      </c>
      <c r="G153" s="3">
        <v>4610.6099999999997</v>
      </c>
      <c r="H153" s="19">
        <v>21</v>
      </c>
      <c r="I153" s="4">
        <f t="shared" si="7"/>
        <v>3.8053357728979893E-2</v>
      </c>
      <c r="M153" s="3">
        <v>4610.6099999999997</v>
      </c>
      <c r="N153" s="4">
        <v>4.9800000000000004</v>
      </c>
      <c r="O153" s="4">
        <f t="shared" si="8"/>
        <v>2.9514503505282425E-2</v>
      </c>
    </row>
    <row r="154" spans="2:15" x14ac:dyDescent="0.3">
      <c r="B154" s="3">
        <v>2745.29</v>
      </c>
      <c r="C154" s="3">
        <v>3100.46</v>
      </c>
      <c r="D154" s="13">
        <f t="shared" si="6"/>
        <v>6.5012103659528184E-2</v>
      </c>
      <c r="G154" s="3">
        <v>2745.29</v>
      </c>
      <c r="H154" s="19">
        <v>70</v>
      </c>
      <c r="I154" s="4">
        <f t="shared" si="7"/>
        <v>3.8053357728979893E-2</v>
      </c>
      <c r="M154" s="3">
        <v>2745.29</v>
      </c>
      <c r="N154" s="4">
        <v>3.18</v>
      </c>
      <c r="O154" s="4">
        <f t="shared" si="8"/>
        <v>2.9514503505282425E-2</v>
      </c>
    </row>
    <row r="155" spans="2:15" x14ac:dyDescent="0.3">
      <c r="B155" s="3">
        <v>4631.3900000000003</v>
      </c>
      <c r="C155" s="3">
        <v>2861.54</v>
      </c>
      <c r="D155" s="13">
        <f t="shared" si="6"/>
        <v>6.5012103659528184E-2</v>
      </c>
      <c r="G155" s="3">
        <v>4631.3900000000003</v>
      </c>
      <c r="H155" s="19">
        <v>50</v>
      </c>
      <c r="I155" s="4">
        <f t="shared" si="7"/>
        <v>3.8053357728979893E-2</v>
      </c>
      <c r="M155" s="3">
        <v>4631.3900000000003</v>
      </c>
      <c r="N155" s="4">
        <v>1.35</v>
      </c>
      <c r="O155" s="4">
        <f t="shared" si="8"/>
        <v>2.9514503505282425E-2</v>
      </c>
    </row>
    <row r="156" spans="2:15" x14ac:dyDescent="0.3">
      <c r="B156" s="3">
        <v>4590.91</v>
      </c>
      <c r="C156" s="3">
        <v>3012.46</v>
      </c>
      <c r="D156" s="13">
        <f t="shared" si="6"/>
        <v>6.5012103659528184E-2</v>
      </c>
      <c r="G156" s="3">
        <v>4590.91</v>
      </c>
      <c r="H156" s="19">
        <v>42</v>
      </c>
      <c r="I156" s="4">
        <f t="shared" si="7"/>
        <v>3.8053357728979893E-2</v>
      </c>
      <c r="M156" s="3">
        <v>4590.91</v>
      </c>
      <c r="N156" s="4">
        <v>3.43</v>
      </c>
      <c r="O156" s="4">
        <f t="shared" si="8"/>
        <v>2.9514503505282425E-2</v>
      </c>
    </row>
    <row r="157" spans="2:15" x14ac:dyDescent="0.3">
      <c r="B157" s="3">
        <v>954.67</v>
      </c>
      <c r="C157" s="3">
        <v>2122.98</v>
      </c>
      <c r="D157" s="13">
        <f t="shared" si="6"/>
        <v>6.5012103659528184E-2</v>
      </c>
      <c r="G157" s="3">
        <v>954.67</v>
      </c>
      <c r="H157" s="19">
        <v>59</v>
      </c>
      <c r="I157" s="4">
        <f t="shared" si="7"/>
        <v>3.8053357728979893E-2</v>
      </c>
      <c r="M157" s="3">
        <v>954.67</v>
      </c>
      <c r="N157" s="4">
        <v>1.61</v>
      </c>
      <c r="O157" s="4">
        <f t="shared" si="8"/>
        <v>2.9514503505282425E-2</v>
      </c>
    </row>
    <row r="158" spans="2:15" x14ac:dyDescent="0.3">
      <c r="B158" s="3">
        <v>4918.5600000000004</v>
      </c>
      <c r="C158" s="3">
        <v>1847.96</v>
      </c>
      <c r="D158" s="13">
        <f t="shared" si="6"/>
        <v>6.5012103659528184E-2</v>
      </c>
      <c r="G158" s="3">
        <v>4918.5600000000004</v>
      </c>
      <c r="H158" s="19">
        <v>77</v>
      </c>
      <c r="I158" s="4">
        <f t="shared" si="7"/>
        <v>3.8053357728979893E-2</v>
      </c>
      <c r="M158" s="3">
        <v>4918.5600000000004</v>
      </c>
      <c r="N158" s="4">
        <v>1.1200000000000001</v>
      </c>
      <c r="O158" s="4">
        <f t="shared" si="8"/>
        <v>2.9514503505282425E-2</v>
      </c>
    </row>
    <row r="159" spans="2:15" x14ac:dyDescent="0.3">
      <c r="B159" s="3">
        <v>4653.6000000000004</v>
      </c>
      <c r="C159" s="3">
        <v>4275.6000000000004</v>
      </c>
      <c r="D159" s="13">
        <f t="shared" si="6"/>
        <v>6.5012103659528184E-2</v>
      </c>
      <c r="G159" s="3">
        <v>4653.6000000000004</v>
      </c>
      <c r="H159" s="19">
        <v>80</v>
      </c>
      <c r="I159" s="4">
        <f t="shared" si="7"/>
        <v>3.8053357728979893E-2</v>
      </c>
      <c r="M159" s="3">
        <v>4653.6000000000004</v>
      </c>
      <c r="N159" s="4">
        <v>4.88</v>
      </c>
      <c r="O159" s="4">
        <f t="shared" si="8"/>
        <v>2.9514503505282425E-2</v>
      </c>
    </row>
    <row r="160" spans="2:15" x14ac:dyDescent="0.3">
      <c r="B160" s="3">
        <v>6044.31</v>
      </c>
      <c r="C160" s="3">
        <v>2322.4299999999998</v>
      </c>
      <c r="D160" s="13">
        <f t="shared" si="6"/>
        <v>6.5012103659528184E-2</v>
      </c>
      <c r="G160" s="3">
        <v>6044.31</v>
      </c>
      <c r="H160" s="19">
        <v>95</v>
      </c>
      <c r="I160" s="4">
        <f t="shared" si="7"/>
        <v>3.8053357728979893E-2</v>
      </c>
      <c r="M160" s="3">
        <v>6044.31</v>
      </c>
      <c r="N160" s="4">
        <v>4.09</v>
      </c>
      <c r="O160" s="4">
        <f t="shared" si="8"/>
        <v>2.9514503505282425E-2</v>
      </c>
    </row>
    <row r="161" spans="2:15" x14ac:dyDescent="0.3">
      <c r="B161" s="3">
        <v>7773.43</v>
      </c>
      <c r="C161" s="3">
        <v>2206.89</v>
      </c>
      <c r="D161" s="13">
        <f t="shared" si="6"/>
        <v>6.5012103659528184E-2</v>
      </c>
      <c r="G161" s="3">
        <v>7773.43</v>
      </c>
      <c r="H161" s="19">
        <v>42</v>
      </c>
      <c r="I161" s="4">
        <f t="shared" si="7"/>
        <v>3.8053357728979893E-2</v>
      </c>
      <c r="M161" s="3">
        <v>7773.43</v>
      </c>
      <c r="N161" s="4">
        <v>4.92</v>
      </c>
      <c r="O161" s="4">
        <f t="shared" si="8"/>
        <v>2.9514503505282425E-2</v>
      </c>
    </row>
    <row r="162" spans="2:15" x14ac:dyDescent="0.3">
      <c r="B162" s="3">
        <v>6689.85</v>
      </c>
      <c r="C162" s="3">
        <v>1277.29</v>
      </c>
      <c r="D162" s="13">
        <f t="shared" si="6"/>
        <v>6.5012103659528184E-2</v>
      </c>
      <c r="G162" s="3">
        <v>6689.85</v>
      </c>
      <c r="H162" s="19">
        <v>90</v>
      </c>
      <c r="I162" s="4">
        <f t="shared" si="7"/>
        <v>3.8053357728979893E-2</v>
      </c>
      <c r="M162" s="3">
        <v>6689.85</v>
      </c>
      <c r="N162" s="4">
        <v>2.91</v>
      </c>
      <c r="O162" s="4">
        <f t="shared" si="8"/>
        <v>2.9514503505282425E-2</v>
      </c>
    </row>
    <row r="163" spans="2:15" x14ac:dyDescent="0.3">
      <c r="B163" s="3">
        <v>4596.67</v>
      </c>
      <c r="C163" s="3">
        <v>2488.83</v>
      </c>
      <c r="D163" s="13">
        <f t="shared" si="6"/>
        <v>6.5012103659528184E-2</v>
      </c>
      <c r="G163" s="3">
        <v>4596.67</v>
      </c>
      <c r="H163" s="19">
        <v>33</v>
      </c>
      <c r="I163" s="4">
        <f t="shared" si="7"/>
        <v>3.8053357728979893E-2</v>
      </c>
      <c r="M163" s="3">
        <v>4596.67</v>
      </c>
      <c r="N163" s="4">
        <v>3.13</v>
      </c>
      <c r="O163" s="4">
        <f t="shared" si="8"/>
        <v>2.9514503505282425E-2</v>
      </c>
    </row>
    <row r="164" spans="2:15" x14ac:dyDescent="0.3">
      <c r="B164" s="3">
        <v>3340.21</v>
      </c>
      <c r="C164" s="3">
        <v>1941.53</v>
      </c>
      <c r="D164" s="13">
        <f t="shared" si="6"/>
        <v>6.5012103659528184E-2</v>
      </c>
      <c r="G164" s="3">
        <v>3340.21</v>
      </c>
      <c r="H164" s="19">
        <v>70</v>
      </c>
      <c r="I164" s="4">
        <f t="shared" si="7"/>
        <v>3.8053357728979893E-2</v>
      </c>
      <c r="M164" s="3">
        <v>3340.21</v>
      </c>
      <c r="N164" s="4">
        <v>1.67</v>
      </c>
      <c r="O164" s="4">
        <f t="shared" si="8"/>
        <v>2.9514503505282425E-2</v>
      </c>
    </row>
    <row r="165" spans="2:15" x14ac:dyDescent="0.3">
      <c r="B165" s="3">
        <v>8860.0400000000009</v>
      </c>
      <c r="C165" s="3">
        <v>4313.6099999999997</v>
      </c>
      <c r="D165" s="13">
        <f t="shared" si="6"/>
        <v>6.5012103659528184E-2</v>
      </c>
      <c r="G165" s="3">
        <v>8860.0400000000009</v>
      </c>
      <c r="H165" s="19">
        <v>70</v>
      </c>
      <c r="I165" s="4">
        <f t="shared" si="7"/>
        <v>3.8053357728979893E-2</v>
      </c>
      <c r="M165" s="3">
        <v>8860.0400000000009</v>
      </c>
      <c r="N165" s="4">
        <v>1.99</v>
      </c>
      <c r="O165" s="4">
        <f t="shared" si="8"/>
        <v>2.9514503505282425E-2</v>
      </c>
    </row>
    <row r="166" spans="2:15" x14ac:dyDescent="0.3">
      <c r="B166" s="3">
        <v>5088.83</v>
      </c>
      <c r="C166" s="3">
        <v>3807.85</v>
      </c>
      <c r="D166" s="13">
        <f t="shared" si="6"/>
        <v>6.5012103659528184E-2</v>
      </c>
      <c r="G166" s="3">
        <v>5088.83</v>
      </c>
      <c r="H166" s="19">
        <v>37</v>
      </c>
      <c r="I166" s="4">
        <f t="shared" si="7"/>
        <v>3.8053357728979893E-2</v>
      </c>
      <c r="M166" s="3">
        <v>5088.83</v>
      </c>
      <c r="N166" s="4">
        <v>4.3499999999999996</v>
      </c>
      <c r="O166" s="4">
        <f t="shared" si="8"/>
        <v>2.9514503505282425E-2</v>
      </c>
    </row>
    <row r="167" spans="2:15" x14ac:dyDescent="0.3">
      <c r="B167" s="3">
        <v>5020.8900000000003</v>
      </c>
      <c r="C167" s="3">
        <v>2449.48</v>
      </c>
      <c r="D167" s="13">
        <f t="shared" si="6"/>
        <v>6.5012103659528184E-2</v>
      </c>
      <c r="G167" s="3">
        <v>5020.8900000000003</v>
      </c>
      <c r="H167" s="19">
        <v>67</v>
      </c>
      <c r="I167" s="4">
        <f t="shared" si="7"/>
        <v>3.8053357728979893E-2</v>
      </c>
      <c r="M167" s="3">
        <v>5020.8900000000003</v>
      </c>
      <c r="N167" s="4">
        <v>2.42</v>
      </c>
      <c r="O167" s="4">
        <f t="shared" si="8"/>
        <v>2.9514503505282425E-2</v>
      </c>
    </row>
    <row r="168" spans="2:15" x14ac:dyDescent="0.3">
      <c r="B168" s="3">
        <v>4963.8100000000004</v>
      </c>
      <c r="C168" s="3">
        <v>4801.95</v>
      </c>
      <c r="D168" s="13">
        <f t="shared" si="6"/>
        <v>6.5012103659528184E-2</v>
      </c>
      <c r="G168" s="3">
        <v>4963.8100000000004</v>
      </c>
      <c r="H168" s="19">
        <v>52</v>
      </c>
      <c r="I168" s="4">
        <f t="shared" si="7"/>
        <v>3.8053357728979893E-2</v>
      </c>
      <c r="M168" s="3">
        <v>4963.8100000000004</v>
      </c>
      <c r="N168" s="4">
        <v>4.3099999999999996</v>
      </c>
      <c r="O168" s="4">
        <f t="shared" si="8"/>
        <v>2.9514503505282425E-2</v>
      </c>
    </row>
    <row r="169" spans="2:15" x14ac:dyDescent="0.3">
      <c r="B169" s="3">
        <v>5297.13</v>
      </c>
      <c r="C169" s="3">
        <v>3785.41</v>
      </c>
      <c r="D169" s="13">
        <f t="shared" si="6"/>
        <v>6.5012103659528184E-2</v>
      </c>
      <c r="G169" s="3">
        <v>5297.13</v>
      </c>
      <c r="H169" s="19">
        <v>50</v>
      </c>
      <c r="I169" s="4">
        <f t="shared" si="7"/>
        <v>3.8053357728979893E-2</v>
      </c>
      <c r="M169" s="3">
        <v>5297.13</v>
      </c>
      <c r="N169" s="4">
        <v>3.84</v>
      </c>
      <c r="O169" s="4">
        <f t="shared" si="8"/>
        <v>2.9514503505282425E-2</v>
      </c>
    </row>
    <row r="170" spans="2:15" x14ac:dyDescent="0.3">
      <c r="B170" s="3">
        <v>4783.46</v>
      </c>
      <c r="C170" s="3">
        <v>2740.13</v>
      </c>
      <c r="D170" s="13">
        <f t="shared" si="6"/>
        <v>6.5012103659528184E-2</v>
      </c>
      <c r="G170" s="3">
        <v>4783.46</v>
      </c>
      <c r="H170" s="19">
        <v>48</v>
      </c>
      <c r="I170" s="4">
        <f t="shared" si="7"/>
        <v>3.8053357728979893E-2</v>
      </c>
      <c r="M170" s="3">
        <v>4783.46</v>
      </c>
      <c r="N170" s="4">
        <v>1.71</v>
      </c>
      <c r="O170" s="4">
        <f t="shared" si="8"/>
        <v>2.9514503505282425E-2</v>
      </c>
    </row>
    <row r="171" spans="2:15" x14ac:dyDescent="0.3">
      <c r="B171" s="3">
        <v>4139.51</v>
      </c>
      <c r="C171" s="3">
        <v>1000.48</v>
      </c>
      <c r="D171" s="13">
        <f t="shared" si="6"/>
        <v>6.5012103659528184E-2</v>
      </c>
      <c r="G171" s="3">
        <v>4139.51</v>
      </c>
      <c r="H171" s="19">
        <v>95</v>
      </c>
      <c r="I171" s="4">
        <f t="shared" si="7"/>
        <v>3.8053357728979893E-2</v>
      </c>
      <c r="M171" s="3">
        <v>4139.51</v>
      </c>
      <c r="N171" s="4">
        <v>3.03</v>
      </c>
      <c r="O171" s="4">
        <f t="shared" si="8"/>
        <v>2.9514503505282425E-2</v>
      </c>
    </row>
    <row r="172" spans="2:15" x14ac:dyDescent="0.3">
      <c r="B172" s="3">
        <v>4179.71</v>
      </c>
      <c r="C172" s="3">
        <v>4832.75</v>
      </c>
      <c r="D172" s="13">
        <f t="shared" si="6"/>
        <v>6.5012103659528184E-2</v>
      </c>
      <c r="G172" s="3">
        <v>4179.71</v>
      </c>
      <c r="H172" s="19">
        <v>58</v>
      </c>
      <c r="I172" s="4">
        <f t="shared" si="7"/>
        <v>3.8053357728979893E-2</v>
      </c>
      <c r="M172" s="3">
        <v>4179.71</v>
      </c>
      <c r="N172" s="4">
        <v>3.71</v>
      </c>
      <c r="O172" s="4">
        <f t="shared" si="8"/>
        <v>2.9514503505282425E-2</v>
      </c>
    </row>
    <row r="173" spans="2:15" x14ac:dyDescent="0.3">
      <c r="B173" s="3">
        <v>4950.87</v>
      </c>
      <c r="C173" s="3">
        <v>1888.34</v>
      </c>
      <c r="D173" s="13">
        <f t="shared" si="6"/>
        <v>6.5012103659528184E-2</v>
      </c>
      <c r="G173" s="3">
        <v>4950.87</v>
      </c>
      <c r="H173" s="19">
        <v>26</v>
      </c>
      <c r="I173" s="4">
        <f t="shared" si="7"/>
        <v>3.8053357728979893E-2</v>
      </c>
      <c r="M173" s="3">
        <v>4950.87</v>
      </c>
      <c r="N173" s="4">
        <v>1.94</v>
      </c>
      <c r="O173" s="4">
        <f t="shared" si="8"/>
        <v>2.9514503505282425E-2</v>
      </c>
    </row>
    <row r="174" spans="2:15" x14ac:dyDescent="0.3">
      <c r="B174" s="3">
        <v>4184.8599999999997</v>
      </c>
      <c r="C174" s="3">
        <v>1683.68</v>
      </c>
      <c r="D174" s="13">
        <f t="shared" si="6"/>
        <v>6.5012103659528184E-2</v>
      </c>
      <c r="G174" s="3">
        <v>4184.8599999999997</v>
      </c>
      <c r="H174" s="19">
        <v>79</v>
      </c>
      <c r="I174" s="4">
        <f t="shared" si="7"/>
        <v>3.8053357728979893E-2</v>
      </c>
      <c r="M174" s="3">
        <v>4184.8599999999997</v>
      </c>
      <c r="N174" s="4">
        <v>4.32</v>
      </c>
      <c r="O174" s="4">
        <f t="shared" si="8"/>
        <v>2.9514503505282425E-2</v>
      </c>
    </row>
    <row r="175" spans="2:15" x14ac:dyDescent="0.3">
      <c r="B175" s="3">
        <v>3930.73</v>
      </c>
      <c r="C175" s="3">
        <v>3818.06</v>
      </c>
      <c r="D175" s="13">
        <f t="shared" si="6"/>
        <v>6.5012103659528184E-2</v>
      </c>
      <c r="G175" s="3">
        <v>3930.73</v>
      </c>
      <c r="H175" s="19">
        <v>79</v>
      </c>
      <c r="I175" s="4">
        <f t="shared" si="7"/>
        <v>3.8053357728979893E-2</v>
      </c>
      <c r="M175" s="3">
        <v>3930.73</v>
      </c>
      <c r="N175" s="4">
        <v>3.18</v>
      </c>
      <c r="O175" s="4">
        <f t="shared" si="8"/>
        <v>2.9514503505282425E-2</v>
      </c>
    </row>
    <row r="176" spans="2:15" x14ac:dyDescent="0.3">
      <c r="B176" s="3">
        <v>5159.6499999999996</v>
      </c>
      <c r="C176" s="3">
        <v>4951.8</v>
      </c>
      <c r="D176" s="13">
        <f t="shared" si="6"/>
        <v>6.5012103659528184E-2</v>
      </c>
      <c r="G176" s="3">
        <v>5159.6499999999996</v>
      </c>
      <c r="H176" s="19">
        <v>74</v>
      </c>
      <c r="I176" s="4">
        <f t="shared" si="7"/>
        <v>3.8053357728979893E-2</v>
      </c>
      <c r="M176" s="3">
        <v>5159.6499999999996</v>
      </c>
      <c r="N176" s="4">
        <v>1.66</v>
      </c>
      <c r="O176" s="4">
        <f t="shared" si="8"/>
        <v>2.9514503505282425E-2</v>
      </c>
    </row>
    <row r="177" spans="2:15" x14ac:dyDescent="0.3">
      <c r="B177" s="3">
        <v>4617.53</v>
      </c>
      <c r="C177" s="3">
        <v>4107.42</v>
      </c>
      <c r="D177" s="13">
        <f t="shared" si="6"/>
        <v>6.5012103659528184E-2</v>
      </c>
      <c r="G177" s="3">
        <v>4617.53</v>
      </c>
      <c r="H177" s="19">
        <v>83</v>
      </c>
      <c r="I177" s="4">
        <f t="shared" si="7"/>
        <v>3.8053357728979893E-2</v>
      </c>
      <c r="M177" s="3">
        <v>4617.53</v>
      </c>
      <c r="N177" s="4">
        <v>3.33</v>
      </c>
      <c r="O177" s="4">
        <f t="shared" si="8"/>
        <v>2.9514503505282425E-2</v>
      </c>
    </row>
    <row r="178" spans="2:15" x14ac:dyDescent="0.3">
      <c r="B178" s="3">
        <v>7255.99</v>
      </c>
      <c r="C178" s="3">
        <v>3451.13</v>
      </c>
      <c r="D178" s="13">
        <f t="shared" si="6"/>
        <v>6.5012103659528184E-2</v>
      </c>
      <c r="G178" s="3">
        <v>7255.99</v>
      </c>
      <c r="H178" s="19">
        <v>94</v>
      </c>
      <c r="I178" s="4">
        <f t="shared" si="7"/>
        <v>3.8053357728979893E-2</v>
      </c>
      <c r="M178" s="3">
        <v>7255.99</v>
      </c>
      <c r="N178" s="4">
        <v>5</v>
      </c>
      <c r="O178" s="4">
        <f t="shared" si="8"/>
        <v>2.9514503505282425E-2</v>
      </c>
    </row>
    <row r="179" spans="2:15" x14ac:dyDescent="0.3">
      <c r="B179" s="3">
        <v>1023.55</v>
      </c>
      <c r="C179" s="3">
        <v>3475.8</v>
      </c>
      <c r="D179" s="13">
        <f t="shared" si="6"/>
        <v>6.5012103659528184E-2</v>
      </c>
      <c r="G179" s="3">
        <v>1023.55</v>
      </c>
      <c r="H179" s="19">
        <v>14</v>
      </c>
      <c r="I179" s="4">
        <f t="shared" si="7"/>
        <v>3.8053357728979893E-2</v>
      </c>
      <c r="M179" s="3">
        <v>1023.55</v>
      </c>
      <c r="N179" s="4">
        <v>1.6</v>
      </c>
      <c r="O179" s="4">
        <f t="shared" si="8"/>
        <v>2.9514503505282425E-2</v>
      </c>
    </row>
    <row r="180" spans="2:15" x14ac:dyDescent="0.3">
      <c r="B180" s="3">
        <v>6637.26</v>
      </c>
      <c r="C180" s="3">
        <v>3682.73</v>
      </c>
      <c r="D180" s="13">
        <f t="shared" si="6"/>
        <v>6.5012103659528184E-2</v>
      </c>
      <c r="G180" s="3">
        <v>6637.26</v>
      </c>
      <c r="H180" s="19">
        <v>11</v>
      </c>
      <c r="I180" s="4">
        <f t="shared" si="7"/>
        <v>3.8053357728979893E-2</v>
      </c>
      <c r="M180" s="3">
        <v>6637.26</v>
      </c>
      <c r="N180" s="4">
        <v>4.2699999999999996</v>
      </c>
      <c r="O180" s="4">
        <f t="shared" si="8"/>
        <v>2.9514503505282425E-2</v>
      </c>
    </row>
    <row r="181" spans="2:15" x14ac:dyDescent="0.3">
      <c r="B181" s="3">
        <v>6869.13</v>
      </c>
      <c r="C181" s="3">
        <v>3607.14</v>
      </c>
      <c r="D181" s="13">
        <f t="shared" si="6"/>
        <v>6.5012103659528184E-2</v>
      </c>
      <c r="G181" s="3">
        <v>6869.13</v>
      </c>
      <c r="H181" s="19">
        <v>31</v>
      </c>
      <c r="I181" s="4">
        <f t="shared" si="7"/>
        <v>3.8053357728979893E-2</v>
      </c>
      <c r="M181" s="3">
        <v>6869.13</v>
      </c>
      <c r="N181" s="4">
        <v>1.83</v>
      </c>
      <c r="O181" s="4">
        <f t="shared" si="8"/>
        <v>2.9514503505282425E-2</v>
      </c>
    </row>
    <row r="182" spans="2:15" x14ac:dyDescent="0.3">
      <c r="B182" s="3">
        <v>1889.91</v>
      </c>
      <c r="C182" s="3">
        <v>3224.95</v>
      </c>
      <c r="D182" s="13">
        <f t="shared" si="6"/>
        <v>6.5012103659528184E-2</v>
      </c>
      <c r="G182" s="3">
        <v>1889.91</v>
      </c>
      <c r="H182" s="19">
        <v>66</v>
      </c>
      <c r="I182" s="4">
        <f t="shared" si="7"/>
        <v>3.8053357728979893E-2</v>
      </c>
      <c r="M182" s="3">
        <v>1889.91</v>
      </c>
      <c r="N182" s="4">
        <v>4.13</v>
      </c>
      <c r="O182" s="4">
        <f t="shared" si="8"/>
        <v>2.9514503505282425E-2</v>
      </c>
    </row>
    <row r="183" spans="2:15" x14ac:dyDescent="0.3">
      <c r="B183" s="3">
        <v>4485.97</v>
      </c>
      <c r="C183" s="3">
        <v>3083.36</v>
      </c>
      <c r="D183" s="13">
        <f t="shared" si="6"/>
        <v>6.5012103659528184E-2</v>
      </c>
      <c r="G183" s="3">
        <v>4485.97</v>
      </c>
      <c r="H183" s="19">
        <v>75</v>
      </c>
      <c r="I183" s="4">
        <f t="shared" si="7"/>
        <v>3.8053357728979893E-2</v>
      </c>
      <c r="M183" s="3">
        <v>4485.97</v>
      </c>
      <c r="N183" s="4">
        <v>3.94</v>
      </c>
      <c r="O183" s="4">
        <f t="shared" si="8"/>
        <v>2.9514503505282425E-2</v>
      </c>
    </row>
    <row r="184" spans="2:15" x14ac:dyDescent="0.3">
      <c r="B184" s="3">
        <v>4442.84</v>
      </c>
      <c r="C184" s="3">
        <v>2949.93</v>
      </c>
      <c r="D184" s="13">
        <f t="shared" si="6"/>
        <v>6.5012103659528184E-2</v>
      </c>
      <c r="G184" s="3">
        <v>4442.84</v>
      </c>
      <c r="H184" s="19">
        <v>83</v>
      </c>
      <c r="I184" s="4">
        <f t="shared" si="7"/>
        <v>3.8053357728979893E-2</v>
      </c>
      <c r="M184" s="3">
        <v>4442.84</v>
      </c>
      <c r="N184" s="4">
        <v>2.2000000000000002</v>
      </c>
      <c r="O184" s="4">
        <f t="shared" si="8"/>
        <v>2.9514503505282425E-2</v>
      </c>
    </row>
    <row r="185" spans="2:15" x14ac:dyDescent="0.3">
      <c r="B185" s="3">
        <v>2888.73</v>
      </c>
      <c r="C185" s="3">
        <v>2396.83</v>
      </c>
      <c r="D185" s="13">
        <f t="shared" si="6"/>
        <v>6.5012103659528184E-2</v>
      </c>
      <c r="G185" s="3">
        <v>2888.73</v>
      </c>
      <c r="H185" s="19">
        <v>25</v>
      </c>
      <c r="I185" s="4">
        <f t="shared" si="7"/>
        <v>3.8053357728979893E-2</v>
      </c>
      <c r="M185" s="3">
        <v>2888.73</v>
      </c>
      <c r="N185" s="4">
        <v>2.2999999999999998</v>
      </c>
      <c r="O185" s="4">
        <f t="shared" si="8"/>
        <v>2.9514503505282425E-2</v>
      </c>
    </row>
    <row r="186" spans="2:15" x14ac:dyDescent="0.3">
      <c r="B186" s="3">
        <v>3833.27</v>
      </c>
      <c r="C186" s="3">
        <v>2775.46</v>
      </c>
      <c r="D186" s="13">
        <f t="shared" si="6"/>
        <v>6.5012103659528184E-2</v>
      </c>
      <c r="G186" s="3">
        <v>3833.27</v>
      </c>
      <c r="H186" s="19">
        <v>60</v>
      </c>
      <c r="I186" s="4">
        <f t="shared" si="7"/>
        <v>3.8053357728979893E-2</v>
      </c>
      <c r="M186" s="3">
        <v>3833.27</v>
      </c>
      <c r="N186" s="4">
        <v>4.17</v>
      </c>
      <c r="O186" s="4">
        <f t="shared" si="8"/>
        <v>2.9514503505282425E-2</v>
      </c>
    </row>
    <row r="187" spans="2:15" x14ac:dyDescent="0.3">
      <c r="B187" s="3">
        <v>3334.14</v>
      </c>
      <c r="C187" s="3">
        <v>1645.63</v>
      </c>
      <c r="D187" s="13">
        <f t="shared" si="6"/>
        <v>6.5012103659528184E-2</v>
      </c>
      <c r="G187" s="3">
        <v>3334.14</v>
      </c>
      <c r="H187" s="19">
        <v>48</v>
      </c>
      <c r="I187" s="4">
        <f t="shared" si="7"/>
        <v>3.8053357728979893E-2</v>
      </c>
      <c r="M187" s="3">
        <v>3334.14</v>
      </c>
      <c r="N187" s="4">
        <v>2.85</v>
      </c>
      <c r="O187" s="4">
        <f t="shared" si="8"/>
        <v>2.9514503505282425E-2</v>
      </c>
    </row>
    <row r="188" spans="2:15" x14ac:dyDescent="0.3">
      <c r="B188" s="3">
        <v>7628.41</v>
      </c>
      <c r="C188" s="3">
        <v>2921.33</v>
      </c>
      <c r="D188" s="13">
        <f t="shared" si="6"/>
        <v>6.5012103659528184E-2</v>
      </c>
      <c r="G188" s="3">
        <v>7628.41</v>
      </c>
      <c r="H188" s="19">
        <v>95</v>
      </c>
      <c r="I188" s="4">
        <f t="shared" si="7"/>
        <v>3.8053357728979893E-2</v>
      </c>
      <c r="M188" s="3">
        <v>7628.41</v>
      </c>
      <c r="N188" s="4">
        <v>3.92</v>
      </c>
      <c r="O188" s="4">
        <f t="shared" si="8"/>
        <v>2.9514503505282425E-2</v>
      </c>
    </row>
    <row r="189" spans="2:15" x14ac:dyDescent="0.3">
      <c r="B189" s="3">
        <v>6403.52</v>
      </c>
      <c r="C189" s="3">
        <v>2209.13</v>
      </c>
      <c r="D189" s="13">
        <f t="shared" si="6"/>
        <v>6.5012103659528184E-2</v>
      </c>
      <c r="G189" s="3">
        <v>6403.52</v>
      </c>
      <c r="H189" s="19">
        <v>85</v>
      </c>
      <c r="I189" s="4">
        <f t="shared" si="7"/>
        <v>3.8053357728979893E-2</v>
      </c>
      <c r="M189" s="3">
        <v>6403.52</v>
      </c>
      <c r="N189" s="4">
        <v>1.59</v>
      </c>
      <c r="O189" s="4">
        <f t="shared" si="8"/>
        <v>2.9514503505282425E-2</v>
      </c>
    </row>
    <row r="190" spans="2:15" x14ac:dyDescent="0.3">
      <c r="B190" s="3">
        <v>6907.33</v>
      </c>
      <c r="C190" s="3">
        <v>2117.13</v>
      </c>
      <c r="D190" s="13">
        <f t="shared" si="6"/>
        <v>6.5012103659528184E-2</v>
      </c>
      <c r="G190" s="3">
        <v>6907.33</v>
      </c>
      <c r="H190" s="19">
        <v>97</v>
      </c>
      <c r="I190" s="4">
        <f t="shared" si="7"/>
        <v>3.8053357728979893E-2</v>
      </c>
      <c r="M190" s="3">
        <v>6907.33</v>
      </c>
      <c r="N190" s="4">
        <v>4.41</v>
      </c>
      <c r="O190" s="4">
        <f t="shared" si="8"/>
        <v>2.9514503505282425E-2</v>
      </c>
    </row>
    <row r="191" spans="2:15" x14ac:dyDescent="0.3">
      <c r="B191" s="3">
        <v>6082.51</v>
      </c>
      <c r="C191" s="3">
        <v>3143.92</v>
      </c>
      <c r="D191" s="13">
        <f t="shared" si="6"/>
        <v>6.5012103659528184E-2</v>
      </c>
      <c r="G191" s="3">
        <v>6082.51</v>
      </c>
      <c r="H191" s="19">
        <v>49</v>
      </c>
      <c r="I191" s="4">
        <f t="shared" si="7"/>
        <v>3.8053357728979893E-2</v>
      </c>
      <c r="M191" s="3">
        <v>6082.51</v>
      </c>
      <c r="N191" s="4">
        <v>3.84</v>
      </c>
      <c r="O191" s="4">
        <f t="shared" si="8"/>
        <v>2.9514503505282425E-2</v>
      </c>
    </row>
    <row r="192" spans="2:15" x14ac:dyDescent="0.3">
      <c r="B192" s="3">
        <v>3306.42</v>
      </c>
      <c r="C192" s="3">
        <v>4113.6000000000004</v>
      </c>
      <c r="D192" s="13">
        <f t="shared" si="6"/>
        <v>6.5012103659528184E-2</v>
      </c>
      <c r="G192" s="3">
        <v>3306.42</v>
      </c>
      <c r="H192" s="19">
        <v>47</v>
      </c>
      <c r="I192" s="4">
        <f t="shared" si="7"/>
        <v>3.8053357728979893E-2</v>
      </c>
      <c r="M192" s="3">
        <v>3306.42</v>
      </c>
      <c r="N192" s="4">
        <v>4.63</v>
      </c>
      <c r="O192" s="4">
        <f t="shared" si="8"/>
        <v>2.9514503505282425E-2</v>
      </c>
    </row>
    <row r="193" spans="2:15" x14ac:dyDescent="0.3">
      <c r="B193" s="3">
        <v>4213.22</v>
      </c>
      <c r="C193" s="3">
        <v>3734.65</v>
      </c>
      <c r="D193" s="13">
        <f t="shared" si="6"/>
        <v>6.5012103659528184E-2</v>
      </c>
      <c r="G193" s="3">
        <v>4213.22</v>
      </c>
      <c r="H193" s="19">
        <v>69</v>
      </c>
      <c r="I193" s="4">
        <f t="shared" si="7"/>
        <v>3.8053357728979893E-2</v>
      </c>
      <c r="M193" s="3">
        <v>4213.22</v>
      </c>
      <c r="N193" s="4">
        <v>1.53</v>
      </c>
      <c r="O193" s="4">
        <f t="shared" si="8"/>
        <v>2.9514503505282425E-2</v>
      </c>
    </row>
    <row r="194" spans="2:15" x14ac:dyDescent="0.3">
      <c r="B194" s="3">
        <v>5734.06</v>
      </c>
      <c r="C194" s="3">
        <v>1743.6</v>
      </c>
      <c r="D194" s="13">
        <f t="shared" si="6"/>
        <v>6.5012103659528184E-2</v>
      </c>
      <c r="G194" s="3">
        <v>5734.06</v>
      </c>
      <c r="H194" s="19">
        <v>68</v>
      </c>
      <c r="I194" s="4">
        <f t="shared" si="7"/>
        <v>3.8053357728979893E-2</v>
      </c>
      <c r="M194" s="3">
        <v>5734.06</v>
      </c>
      <c r="N194" s="4">
        <v>3.37</v>
      </c>
      <c r="O194" s="4">
        <f t="shared" si="8"/>
        <v>2.9514503505282425E-2</v>
      </c>
    </row>
    <row r="195" spans="2:15" x14ac:dyDescent="0.3">
      <c r="B195" s="3">
        <v>3166.81</v>
      </c>
      <c r="C195" s="3">
        <v>2208.3000000000002</v>
      </c>
      <c r="D195" s="13">
        <f t="shared" si="6"/>
        <v>6.5012103659528184E-2</v>
      </c>
      <c r="G195" s="3">
        <v>3166.81</v>
      </c>
      <c r="H195" s="19">
        <v>19</v>
      </c>
      <c r="I195" s="4">
        <f t="shared" si="7"/>
        <v>3.8053357728979893E-2</v>
      </c>
      <c r="M195" s="3">
        <v>3166.81</v>
      </c>
      <c r="N195" s="4">
        <v>3.4</v>
      </c>
      <c r="O195" s="4">
        <f t="shared" si="8"/>
        <v>2.9514503505282425E-2</v>
      </c>
    </row>
    <row r="196" spans="2:15" x14ac:dyDescent="0.3">
      <c r="B196" s="3">
        <v>6069.5</v>
      </c>
      <c r="C196" s="3">
        <v>3752.62</v>
      </c>
      <c r="D196" s="13">
        <f t="shared" si="6"/>
        <v>6.5012103659528184E-2</v>
      </c>
      <c r="G196" s="3">
        <v>6069.5</v>
      </c>
      <c r="H196" s="19">
        <v>73</v>
      </c>
      <c r="I196" s="4">
        <f t="shared" si="7"/>
        <v>3.8053357728979893E-2</v>
      </c>
      <c r="M196" s="3">
        <v>6069.5</v>
      </c>
      <c r="N196" s="4">
        <v>2.41</v>
      </c>
      <c r="O196" s="4">
        <f t="shared" si="8"/>
        <v>2.9514503505282425E-2</v>
      </c>
    </row>
    <row r="197" spans="2:15" x14ac:dyDescent="0.3">
      <c r="B197" s="3">
        <v>4639.51</v>
      </c>
      <c r="C197" s="3">
        <v>2214.0100000000002</v>
      </c>
      <c r="D197" s="13">
        <f t="shared" si="6"/>
        <v>6.5012103659528184E-2</v>
      </c>
      <c r="G197" s="3">
        <v>4639.51</v>
      </c>
      <c r="H197" s="19">
        <v>72</v>
      </c>
      <c r="I197" s="4">
        <f t="shared" si="7"/>
        <v>3.8053357728979893E-2</v>
      </c>
      <c r="M197" s="3">
        <v>4639.51</v>
      </c>
      <c r="N197" s="4">
        <v>2.83</v>
      </c>
      <c r="O197" s="4">
        <f t="shared" si="8"/>
        <v>2.9514503505282425E-2</v>
      </c>
    </row>
    <row r="198" spans="2:15" x14ac:dyDescent="0.3">
      <c r="B198" s="3">
        <v>4437.7700000000004</v>
      </c>
      <c r="C198" s="3">
        <v>2820.29</v>
      </c>
      <c r="D198" s="13">
        <f t="shared" ref="D198:D261" si="9">CORREL(B:B,C:C)</f>
        <v>6.5012103659528184E-2</v>
      </c>
      <c r="G198" s="3">
        <v>4437.7700000000004</v>
      </c>
      <c r="H198" s="19">
        <v>58</v>
      </c>
      <c r="I198" s="4">
        <f t="shared" ref="I198:I261" si="10">CORREL(G:G,H:H)</f>
        <v>3.8053357728979893E-2</v>
      </c>
      <c r="M198" s="3">
        <v>4437.7700000000004</v>
      </c>
      <c r="N198" s="4">
        <v>1.1499999999999999</v>
      </c>
      <c r="O198" s="4">
        <f t="shared" ref="O198:O261" si="11">CORREL(M:M,N:N)</f>
        <v>2.9514503505282425E-2</v>
      </c>
    </row>
    <row r="199" spans="2:15" x14ac:dyDescent="0.3">
      <c r="B199" s="3">
        <v>6066.44</v>
      </c>
      <c r="C199" s="3">
        <v>3440.04</v>
      </c>
      <c r="D199" s="13">
        <f t="shared" si="9"/>
        <v>6.5012103659528184E-2</v>
      </c>
      <c r="G199" s="3">
        <v>6066.44</v>
      </c>
      <c r="H199" s="19">
        <v>73</v>
      </c>
      <c r="I199" s="4">
        <f t="shared" si="10"/>
        <v>3.8053357728979893E-2</v>
      </c>
      <c r="M199" s="3">
        <v>6066.44</v>
      </c>
      <c r="N199" s="4">
        <v>3.98</v>
      </c>
      <c r="O199" s="4">
        <f t="shared" si="11"/>
        <v>2.9514503505282425E-2</v>
      </c>
    </row>
    <row r="200" spans="2:15" x14ac:dyDescent="0.3">
      <c r="B200" s="3">
        <v>5666.39</v>
      </c>
      <c r="C200" s="3">
        <v>2225.3200000000002</v>
      </c>
      <c r="D200" s="13">
        <f t="shared" si="9"/>
        <v>6.5012103659528184E-2</v>
      </c>
      <c r="G200" s="3">
        <v>5666.39</v>
      </c>
      <c r="H200" s="19">
        <v>41</v>
      </c>
      <c r="I200" s="4">
        <f t="shared" si="10"/>
        <v>3.8053357728979893E-2</v>
      </c>
      <c r="M200" s="3">
        <v>5666.39</v>
      </c>
      <c r="N200" s="4">
        <v>3.2</v>
      </c>
      <c r="O200" s="4">
        <f t="shared" si="11"/>
        <v>2.9514503505282425E-2</v>
      </c>
    </row>
    <row r="201" spans="2:15" x14ac:dyDescent="0.3">
      <c r="B201" s="3">
        <v>4458.55</v>
      </c>
      <c r="C201" s="3">
        <v>3084.3</v>
      </c>
      <c r="D201" s="13">
        <f t="shared" si="9"/>
        <v>6.5012103659528184E-2</v>
      </c>
      <c r="G201" s="3">
        <v>4458.55</v>
      </c>
      <c r="H201" s="19">
        <v>16</v>
      </c>
      <c r="I201" s="4">
        <f t="shared" si="10"/>
        <v>3.8053357728979893E-2</v>
      </c>
      <c r="M201" s="3">
        <v>4458.55</v>
      </c>
      <c r="N201" s="4">
        <v>1.23</v>
      </c>
      <c r="O201" s="4">
        <f t="shared" si="11"/>
        <v>2.9514503505282425E-2</v>
      </c>
    </row>
    <row r="202" spans="2:15" x14ac:dyDescent="0.3">
      <c r="B202" s="3">
        <v>6738.99</v>
      </c>
      <c r="C202" s="3">
        <v>1932.78</v>
      </c>
      <c r="D202" s="13">
        <f t="shared" si="9"/>
        <v>6.5012103659528184E-2</v>
      </c>
      <c r="G202" s="3">
        <v>6738.99</v>
      </c>
      <c r="H202" s="19">
        <v>30</v>
      </c>
      <c r="I202" s="4">
        <f t="shared" si="10"/>
        <v>3.8053357728979893E-2</v>
      </c>
      <c r="M202" s="3">
        <v>6738.99</v>
      </c>
      <c r="N202" s="4">
        <v>3.72</v>
      </c>
      <c r="O202" s="4">
        <f t="shared" si="11"/>
        <v>2.9514503505282425E-2</v>
      </c>
    </row>
    <row r="203" spans="2:15" x14ac:dyDescent="0.3">
      <c r="B203" s="3">
        <v>3378.41</v>
      </c>
      <c r="C203" s="3">
        <v>2518.91</v>
      </c>
      <c r="D203" s="13">
        <f t="shared" si="9"/>
        <v>6.5012103659528184E-2</v>
      </c>
      <c r="G203" s="3">
        <v>3378.41</v>
      </c>
      <c r="H203" s="19">
        <v>29</v>
      </c>
      <c r="I203" s="4">
        <f t="shared" si="10"/>
        <v>3.8053357728979893E-2</v>
      </c>
      <c r="M203" s="3">
        <v>3378.41</v>
      </c>
      <c r="N203" s="4">
        <v>2.87</v>
      </c>
      <c r="O203" s="4">
        <f t="shared" si="11"/>
        <v>2.9514503505282425E-2</v>
      </c>
    </row>
    <row r="204" spans="2:15" x14ac:dyDescent="0.3">
      <c r="B204" s="3">
        <v>5923.9</v>
      </c>
      <c r="C204" s="3">
        <v>3255.83</v>
      </c>
      <c r="D204" s="13">
        <f t="shared" si="9"/>
        <v>6.5012103659528184E-2</v>
      </c>
      <c r="G204" s="3">
        <v>5923.9</v>
      </c>
      <c r="H204" s="19">
        <v>35</v>
      </c>
      <c r="I204" s="4">
        <f t="shared" si="10"/>
        <v>3.8053357728979893E-2</v>
      </c>
      <c r="M204" s="3">
        <v>5923.9</v>
      </c>
      <c r="N204" s="4">
        <v>1.1399999999999999</v>
      </c>
      <c r="O204" s="4">
        <f t="shared" si="11"/>
        <v>2.9514503505282425E-2</v>
      </c>
    </row>
    <row r="205" spans="2:15" x14ac:dyDescent="0.3">
      <c r="B205" s="3">
        <v>5889.65</v>
      </c>
      <c r="C205" s="3">
        <v>1725.61</v>
      </c>
      <c r="D205" s="13">
        <f t="shared" si="9"/>
        <v>6.5012103659528184E-2</v>
      </c>
      <c r="G205" s="3">
        <v>5889.65</v>
      </c>
      <c r="H205" s="19">
        <v>77</v>
      </c>
      <c r="I205" s="4">
        <f t="shared" si="10"/>
        <v>3.8053357728979893E-2</v>
      </c>
      <c r="M205" s="3">
        <v>5889.65</v>
      </c>
      <c r="N205" s="4">
        <v>4.88</v>
      </c>
      <c r="O205" s="4">
        <f t="shared" si="11"/>
        <v>2.9514503505282425E-2</v>
      </c>
    </row>
    <row r="206" spans="2:15" x14ac:dyDescent="0.3">
      <c r="B206" s="3">
        <v>4535.68</v>
      </c>
      <c r="C206" s="3">
        <v>3352.38</v>
      </c>
      <c r="D206" s="13">
        <f t="shared" si="9"/>
        <v>6.5012103659528184E-2</v>
      </c>
      <c r="G206" s="3">
        <v>4535.68</v>
      </c>
      <c r="H206" s="19">
        <v>95</v>
      </c>
      <c r="I206" s="4">
        <f t="shared" si="10"/>
        <v>3.8053357728979893E-2</v>
      </c>
      <c r="M206" s="3">
        <v>4535.68</v>
      </c>
      <c r="N206" s="4">
        <v>4.8</v>
      </c>
      <c r="O206" s="4">
        <f t="shared" si="11"/>
        <v>2.9514503505282425E-2</v>
      </c>
    </row>
    <row r="207" spans="2:15" x14ac:dyDescent="0.3">
      <c r="B207" s="3">
        <v>5489.2</v>
      </c>
      <c r="C207" s="3">
        <v>2984.29</v>
      </c>
      <c r="D207" s="13">
        <f t="shared" si="9"/>
        <v>6.5012103659528184E-2</v>
      </c>
      <c r="G207" s="3">
        <v>5489.2</v>
      </c>
      <c r="H207" s="19">
        <v>24</v>
      </c>
      <c r="I207" s="4">
        <f t="shared" si="10"/>
        <v>3.8053357728979893E-2</v>
      </c>
      <c r="M207" s="3">
        <v>5489.2</v>
      </c>
      <c r="N207" s="4">
        <v>3.05</v>
      </c>
      <c r="O207" s="4">
        <f t="shared" si="11"/>
        <v>2.9514503505282425E-2</v>
      </c>
    </row>
    <row r="208" spans="2:15" x14ac:dyDescent="0.3">
      <c r="B208" s="3">
        <v>3123.33</v>
      </c>
      <c r="C208" s="3">
        <v>3441.99</v>
      </c>
      <c r="D208" s="13">
        <f t="shared" si="9"/>
        <v>6.5012103659528184E-2</v>
      </c>
      <c r="G208" s="3">
        <v>3123.33</v>
      </c>
      <c r="H208" s="19">
        <v>94</v>
      </c>
      <c r="I208" s="4">
        <f t="shared" si="10"/>
        <v>3.8053357728979893E-2</v>
      </c>
      <c r="M208" s="3">
        <v>3123.33</v>
      </c>
      <c r="N208" s="4">
        <v>1.37</v>
      </c>
      <c r="O208" s="4">
        <f t="shared" si="11"/>
        <v>2.9514503505282425E-2</v>
      </c>
    </row>
    <row r="209" spans="2:15" x14ac:dyDescent="0.3">
      <c r="B209" s="3">
        <v>6386.04</v>
      </c>
      <c r="C209" s="3">
        <v>3179.13</v>
      </c>
      <c r="D209" s="13">
        <f t="shared" si="9"/>
        <v>6.5012103659528184E-2</v>
      </c>
      <c r="G209" s="3">
        <v>6386.04</v>
      </c>
      <c r="H209" s="19">
        <v>88</v>
      </c>
      <c r="I209" s="4">
        <f t="shared" si="10"/>
        <v>3.8053357728979893E-2</v>
      </c>
      <c r="M209" s="3">
        <v>6386.04</v>
      </c>
      <c r="N209" s="4">
        <v>4.0199999999999996</v>
      </c>
      <c r="O209" s="4">
        <f t="shared" si="11"/>
        <v>2.9514503505282425E-2</v>
      </c>
    </row>
    <row r="210" spans="2:15" x14ac:dyDescent="0.3">
      <c r="B210" s="3">
        <v>4722.6499999999996</v>
      </c>
      <c r="C210" s="3">
        <v>4091.31</v>
      </c>
      <c r="D210" s="13">
        <f t="shared" si="9"/>
        <v>6.5012103659528184E-2</v>
      </c>
      <c r="G210" s="3">
        <v>4722.6499999999996</v>
      </c>
      <c r="H210" s="19">
        <v>95</v>
      </c>
      <c r="I210" s="4">
        <f t="shared" si="10"/>
        <v>3.8053357728979893E-2</v>
      </c>
      <c r="M210" s="3">
        <v>4722.6499999999996</v>
      </c>
      <c r="N210" s="4">
        <v>2.97</v>
      </c>
      <c r="O210" s="4">
        <f t="shared" si="11"/>
        <v>2.9514503505282425E-2</v>
      </c>
    </row>
    <row r="211" spans="2:15" x14ac:dyDescent="0.3">
      <c r="B211" s="3">
        <v>4215.92</v>
      </c>
      <c r="C211" s="3">
        <v>3100.18</v>
      </c>
      <c r="D211" s="13">
        <f t="shared" si="9"/>
        <v>6.5012103659528184E-2</v>
      </c>
      <c r="G211" s="3">
        <v>4215.92</v>
      </c>
      <c r="H211" s="19">
        <v>23</v>
      </c>
      <c r="I211" s="4">
        <f t="shared" si="10"/>
        <v>3.8053357728979893E-2</v>
      </c>
      <c r="M211" s="3">
        <v>4215.92</v>
      </c>
      <c r="N211" s="4">
        <v>2.21</v>
      </c>
      <c r="O211" s="4">
        <f t="shared" si="11"/>
        <v>2.9514503505282425E-2</v>
      </c>
    </row>
    <row r="212" spans="2:15" x14ac:dyDescent="0.3">
      <c r="B212" s="3">
        <v>6573.51</v>
      </c>
      <c r="C212" s="3">
        <v>2656.48</v>
      </c>
      <c r="D212" s="13">
        <f t="shared" si="9"/>
        <v>6.5012103659528184E-2</v>
      </c>
      <c r="G212" s="3">
        <v>6573.51</v>
      </c>
      <c r="H212" s="19">
        <v>36</v>
      </c>
      <c r="I212" s="4">
        <f t="shared" si="10"/>
        <v>3.8053357728979893E-2</v>
      </c>
      <c r="M212" s="3">
        <v>6573.51</v>
      </c>
      <c r="N212" s="4">
        <v>2.97</v>
      </c>
      <c r="O212" s="4">
        <f t="shared" si="11"/>
        <v>2.9514503505282425E-2</v>
      </c>
    </row>
    <row r="213" spans="2:15" x14ac:dyDescent="0.3">
      <c r="B213" s="3">
        <v>3943.48</v>
      </c>
      <c r="C213" s="3">
        <v>3097.84</v>
      </c>
      <c r="D213" s="13">
        <f t="shared" si="9"/>
        <v>6.5012103659528184E-2</v>
      </c>
      <c r="G213" s="3">
        <v>3943.48</v>
      </c>
      <c r="H213" s="19">
        <v>49</v>
      </c>
      <c r="I213" s="4">
        <f t="shared" si="10"/>
        <v>3.8053357728979893E-2</v>
      </c>
      <c r="M213" s="3">
        <v>3943.48</v>
      </c>
      <c r="N213" s="4">
        <v>3.09</v>
      </c>
      <c r="O213" s="4">
        <f t="shared" si="11"/>
        <v>2.9514503505282425E-2</v>
      </c>
    </row>
    <row r="214" spans="2:15" x14ac:dyDescent="0.3">
      <c r="B214" s="3">
        <v>2887.31</v>
      </c>
      <c r="C214" s="3">
        <v>3434.64</v>
      </c>
      <c r="D214" s="13">
        <f t="shared" si="9"/>
        <v>6.5012103659528184E-2</v>
      </c>
      <c r="G214" s="3">
        <v>2887.31</v>
      </c>
      <c r="H214" s="19">
        <v>67</v>
      </c>
      <c r="I214" s="4">
        <f t="shared" si="10"/>
        <v>3.8053357728979893E-2</v>
      </c>
      <c r="M214" s="3">
        <v>2887.31</v>
      </c>
      <c r="N214" s="4">
        <v>3.25</v>
      </c>
      <c r="O214" s="4">
        <f t="shared" si="11"/>
        <v>2.9514503505282425E-2</v>
      </c>
    </row>
    <row r="215" spans="2:15" x14ac:dyDescent="0.3">
      <c r="B215" s="3">
        <v>2665.06</v>
      </c>
      <c r="C215" s="3">
        <v>3039.09</v>
      </c>
      <c r="D215" s="13">
        <f t="shared" si="9"/>
        <v>6.5012103659528184E-2</v>
      </c>
      <c r="G215" s="3">
        <v>2665.06</v>
      </c>
      <c r="H215" s="19">
        <v>37</v>
      </c>
      <c r="I215" s="4">
        <f t="shared" si="10"/>
        <v>3.8053357728979893E-2</v>
      </c>
      <c r="M215" s="3">
        <v>2665.06</v>
      </c>
      <c r="N215" s="4">
        <v>2.76</v>
      </c>
      <c r="O215" s="4">
        <f t="shared" si="11"/>
        <v>2.9514503505282425E-2</v>
      </c>
    </row>
    <row r="216" spans="2:15" x14ac:dyDescent="0.3">
      <c r="B216" s="3">
        <v>5909.01</v>
      </c>
      <c r="C216" s="3">
        <v>3032.47</v>
      </c>
      <c r="D216" s="13">
        <f t="shared" si="9"/>
        <v>6.5012103659528184E-2</v>
      </c>
      <c r="G216" s="3">
        <v>5909.01</v>
      </c>
      <c r="H216" s="19">
        <v>35</v>
      </c>
      <c r="I216" s="4">
        <f t="shared" si="10"/>
        <v>3.8053357728979893E-2</v>
      </c>
      <c r="M216" s="3">
        <v>5909.01</v>
      </c>
      <c r="N216" s="4">
        <v>3.42</v>
      </c>
      <c r="O216" s="4">
        <f t="shared" si="11"/>
        <v>2.9514503505282425E-2</v>
      </c>
    </row>
    <row r="217" spans="2:15" x14ac:dyDescent="0.3">
      <c r="B217" s="3">
        <v>3079.36</v>
      </c>
      <c r="C217" s="3">
        <v>2438.41</v>
      </c>
      <c r="D217" s="13">
        <f t="shared" si="9"/>
        <v>6.5012103659528184E-2</v>
      </c>
      <c r="G217" s="3">
        <v>3079.36</v>
      </c>
      <c r="H217" s="19">
        <v>72</v>
      </c>
      <c r="I217" s="4">
        <f t="shared" si="10"/>
        <v>3.8053357728979893E-2</v>
      </c>
      <c r="M217" s="3">
        <v>3079.36</v>
      </c>
      <c r="N217" s="4">
        <v>4.67</v>
      </c>
      <c r="O217" s="4">
        <f t="shared" si="11"/>
        <v>2.9514503505282425E-2</v>
      </c>
    </row>
    <row r="218" spans="2:15" x14ac:dyDescent="0.3">
      <c r="B218" s="3">
        <v>7632.19</v>
      </c>
      <c r="C218" s="3">
        <v>2469.6799999999998</v>
      </c>
      <c r="D218" s="13">
        <f t="shared" si="9"/>
        <v>6.5012103659528184E-2</v>
      </c>
      <c r="G218" s="3">
        <v>7632.19</v>
      </c>
      <c r="H218" s="19">
        <v>75</v>
      </c>
      <c r="I218" s="4">
        <f t="shared" si="10"/>
        <v>3.8053357728979893E-2</v>
      </c>
      <c r="M218" s="3">
        <v>7632.19</v>
      </c>
      <c r="N218" s="4">
        <v>2.4500000000000002</v>
      </c>
      <c r="O218" s="4">
        <f t="shared" si="11"/>
        <v>2.9514503505282425E-2</v>
      </c>
    </row>
    <row r="219" spans="2:15" x14ac:dyDescent="0.3">
      <c r="B219" s="3">
        <v>1877.11</v>
      </c>
      <c r="C219" s="3">
        <v>1877.92</v>
      </c>
      <c r="D219" s="13">
        <f t="shared" si="9"/>
        <v>6.5012103659528184E-2</v>
      </c>
      <c r="G219" s="3">
        <v>1877.11</v>
      </c>
      <c r="H219" s="19">
        <v>34</v>
      </c>
      <c r="I219" s="4">
        <f t="shared" si="10"/>
        <v>3.8053357728979893E-2</v>
      </c>
      <c r="M219" s="3">
        <v>1877.11</v>
      </c>
      <c r="N219" s="4">
        <v>3.9</v>
      </c>
      <c r="O219" s="4">
        <f t="shared" si="11"/>
        <v>2.9514503505282425E-2</v>
      </c>
    </row>
    <row r="220" spans="2:15" x14ac:dyDescent="0.3">
      <c r="B220" s="3">
        <v>7544.68</v>
      </c>
      <c r="C220" s="3">
        <v>4399.66</v>
      </c>
      <c r="D220" s="13">
        <f t="shared" si="9"/>
        <v>6.5012103659528184E-2</v>
      </c>
      <c r="G220" s="3">
        <v>7544.68</v>
      </c>
      <c r="H220" s="19">
        <v>12</v>
      </c>
      <c r="I220" s="4">
        <f t="shared" si="10"/>
        <v>3.8053357728979893E-2</v>
      </c>
      <c r="M220" s="3">
        <v>7544.68</v>
      </c>
      <c r="N220" s="4">
        <v>4.58</v>
      </c>
      <c r="O220" s="4">
        <f t="shared" si="11"/>
        <v>2.9514503505282425E-2</v>
      </c>
    </row>
    <row r="221" spans="2:15" x14ac:dyDescent="0.3">
      <c r="B221" s="3">
        <v>5316.53</v>
      </c>
      <c r="C221" s="3">
        <v>2004.91</v>
      </c>
      <c r="D221" s="13">
        <f t="shared" si="9"/>
        <v>6.5012103659528184E-2</v>
      </c>
      <c r="G221" s="3">
        <v>5316.53</v>
      </c>
      <c r="H221" s="19">
        <v>81</v>
      </c>
      <c r="I221" s="4">
        <f t="shared" si="10"/>
        <v>3.8053357728979893E-2</v>
      </c>
      <c r="M221" s="3">
        <v>5316.53</v>
      </c>
      <c r="N221" s="4">
        <v>2.82</v>
      </c>
      <c r="O221" s="4">
        <f t="shared" si="11"/>
        <v>2.9514503505282425E-2</v>
      </c>
    </row>
    <row r="222" spans="2:15" x14ac:dyDescent="0.3">
      <c r="B222" s="3">
        <v>4854.93</v>
      </c>
      <c r="C222" s="3">
        <v>2445.6799999999998</v>
      </c>
      <c r="D222" s="13">
        <f t="shared" si="9"/>
        <v>6.5012103659528184E-2</v>
      </c>
      <c r="G222" s="3">
        <v>4854.93</v>
      </c>
      <c r="H222" s="19">
        <v>53</v>
      </c>
      <c r="I222" s="4">
        <f t="shared" si="10"/>
        <v>3.8053357728979893E-2</v>
      </c>
      <c r="M222" s="3">
        <v>4854.93</v>
      </c>
      <c r="N222" s="4">
        <v>2.77</v>
      </c>
      <c r="O222" s="4">
        <f t="shared" si="11"/>
        <v>2.9514503505282425E-2</v>
      </c>
    </row>
    <row r="223" spans="2:15" x14ac:dyDescent="0.3">
      <c r="B223" s="3">
        <v>4182.62</v>
      </c>
      <c r="C223" s="3">
        <v>2425.27</v>
      </c>
      <c r="D223" s="13">
        <f t="shared" si="9"/>
        <v>6.5012103659528184E-2</v>
      </c>
      <c r="G223" s="3">
        <v>4182.62</v>
      </c>
      <c r="H223" s="19">
        <v>51</v>
      </c>
      <c r="I223" s="4">
        <f t="shared" si="10"/>
        <v>3.8053357728979893E-2</v>
      </c>
      <c r="M223" s="3">
        <v>4182.62</v>
      </c>
      <c r="N223" s="4">
        <v>3.41</v>
      </c>
      <c r="O223" s="4">
        <f t="shared" si="11"/>
        <v>2.9514503505282425E-2</v>
      </c>
    </row>
    <row r="224" spans="2:15" x14ac:dyDescent="0.3">
      <c r="B224" s="3">
        <v>5598.7</v>
      </c>
      <c r="C224" s="3">
        <v>3715.94</v>
      </c>
      <c r="D224" s="13">
        <f t="shared" si="9"/>
        <v>6.5012103659528184E-2</v>
      </c>
      <c r="G224" s="3">
        <v>5598.7</v>
      </c>
      <c r="H224" s="19">
        <v>15</v>
      </c>
      <c r="I224" s="4">
        <f t="shared" si="10"/>
        <v>3.8053357728979893E-2</v>
      </c>
      <c r="M224" s="3">
        <v>5598.7</v>
      </c>
      <c r="N224" s="4">
        <v>3.37</v>
      </c>
      <c r="O224" s="4">
        <f t="shared" si="11"/>
        <v>2.9514503505282425E-2</v>
      </c>
    </row>
    <row r="225" spans="2:15" x14ac:dyDescent="0.3">
      <c r="B225" s="3">
        <v>4943.55</v>
      </c>
      <c r="C225" s="3">
        <v>2764.04</v>
      </c>
      <c r="D225" s="13">
        <f t="shared" si="9"/>
        <v>6.5012103659528184E-2</v>
      </c>
      <c r="G225" s="3">
        <v>4943.55</v>
      </c>
      <c r="H225" s="19">
        <v>48</v>
      </c>
      <c r="I225" s="4">
        <f t="shared" si="10"/>
        <v>3.8053357728979893E-2</v>
      </c>
      <c r="M225" s="3">
        <v>4943.55</v>
      </c>
      <c r="N225" s="4">
        <v>4.2300000000000004</v>
      </c>
      <c r="O225" s="4">
        <f t="shared" si="11"/>
        <v>2.9514503505282425E-2</v>
      </c>
    </row>
    <row r="226" spans="2:15" x14ac:dyDescent="0.3">
      <c r="B226" s="3">
        <v>6654.95</v>
      </c>
      <c r="C226" s="3">
        <v>3998.19</v>
      </c>
      <c r="D226" s="13">
        <f t="shared" si="9"/>
        <v>6.5012103659528184E-2</v>
      </c>
      <c r="G226" s="3">
        <v>6654.95</v>
      </c>
      <c r="H226" s="19">
        <v>61</v>
      </c>
      <c r="I226" s="4">
        <f t="shared" si="10"/>
        <v>3.8053357728979893E-2</v>
      </c>
      <c r="M226" s="3">
        <v>6654.95</v>
      </c>
      <c r="N226" s="4">
        <v>2.91</v>
      </c>
      <c r="O226" s="4">
        <f t="shared" si="11"/>
        <v>2.9514503505282425E-2</v>
      </c>
    </row>
    <row r="227" spans="2:15" x14ac:dyDescent="0.3">
      <c r="B227" s="3">
        <v>5171.34</v>
      </c>
      <c r="C227" s="3">
        <v>2461.21</v>
      </c>
      <c r="D227" s="13">
        <f t="shared" si="9"/>
        <v>6.5012103659528184E-2</v>
      </c>
      <c r="G227" s="3">
        <v>5171.34</v>
      </c>
      <c r="H227" s="19">
        <v>32</v>
      </c>
      <c r="I227" s="4">
        <f t="shared" si="10"/>
        <v>3.8053357728979893E-2</v>
      </c>
      <c r="M227" s="3">
        <v>5171.34</v>
      </c>
      <c r="N227" s="4">
        <v>4.9800000000000004</v>
      </c>
      <c r="O227" s="4">
        <f t="shared" si="11"/>
        <v>2.9514503505282425E-2</v>
      </c>
    </row>
    <row r="228" spans="2:15" x14ac:dyDescent="0.3">
      <c r="B228" s="3">
        <v>5225.45</v>
      </c>
      <c r="C228" s="3">
        <v>3223.2</v>
      </c>
      <c r="D228" s="13">
        <f t="shared" si="9"/>
        <v>6.5012103659528184E-2</v>
      </c>
      <c r="G228" s="3">
        <v>5225.45</v>
      </c>
      <c r="H228" s="19">
        <v>98</v>
      </c>
      <c r="I228" s="4">
        <f t="shared" si="10"/>
        <v>3.8053357728979893E-2</v>
      </c>
      <c r="M228" s="3">
        <v>5225.45</v>
      </c>
      <c r="N228" s="4">
        <v>1.24</v>
      </c>
      <c r="O228" s="4">
        <f t="shared" si="11"/>
        <v>2.9514503505282425E-2</v>
      </c>
    </row>
    <row r="229" spans="2:15" x14ac:dyDescent="0.3">
      <c r="B229" s="3">
        <v>4454.58</v>
      </c>
      <c r="C229" s="3">
        <v>2331.7199999999998</v>
      </c>
      <c r="D229" s="13">
        <f t="shared" si="9"/>
        <v>6.5012103659528184E-2</v>
      </c>
      <c r="G229" s="3">
        <v>4454.58</v>
      </c>
      <c r="H229" s="19">
        <v>59</v>
      </c>
      <c r="I229" s="4">
        <f t="shared" si="10"/>
        <v>3.8053357728979893E-2</v>
      </c>
      <c r="M229" s="3">
        <v>4454.58</v>
      </c>
      <c r="N229" s="4">
        <v>1.01</v>
      </c>
      <c r="O229" s="4">
        <f t="shared" si="11"/>
        <v>2.9514503505282425E-2</v>
      </c>
    </row>
    <row r="230" spans="2:15" x14ac:dyDescent="0.3">
      <c r="B230" s="3">
        <v>4914.58</v>
      </c>
      <c r="C230" s="3">
        <v>4716.12</v>
      </c>
      <c r="D230" s="13">
        <f t="shared" si="9"/>
        <v>6.5012103659528184E-2</v>
      </c>
      <c r="G230" s="3">
        <v>4914.58</v>
      </c>
      <c r="H230" s="19">
        <v>52</v>
      </c>
      <c r="I230" s="4">
        <f t="shared" si="10"/>
        <v>3.8053357728979893E-2</v>
      </c>
      <c r="M230" s="3">
        <v>4914.58</v>
      </c>
      <c r="N230" s="4">
        <v>3.56</v>
      </c>
      <c r="O230" s="4">
        <f t="shared" si="11"/>
        <v>2.9514503505282425E-2</v>
      </c>
    </row>
    <row r="231" spans="2:15" x14ac:dyDescent="0.3">
      <c r="B231" s="3">
        <v>5461.7</v>
      </c>
      <c r="C231" s="3">
        <v>2049.92</v>
      </c>
      <c r="D231" s="13">
        <f t="shared" si="9"/>
        <v>6.5012103659528184E-2</v>
      </c>
      <c r="G231" s="3">
        <v>5461.7</v>
      </c>
      <c r="H231" s="19">
        <v>28</v>
      </c>
      <c r="I231" s="4">
        <f t="shared" si="10"/>
        <v>3.8053357728979893E-2</v>
      </c>
      <c r="M231" s="3">
        <v>5461.7</v>
      </c>
      <c r="N231" s="4">
        <v>2.19</v>
      </c>
      <c r="O231" s="4">
        <f t="shared" si="11"/>
        <v>2.9514503505282425E-2</v>
      </c>
    </row>
    <row r="232" spans="2:15" x14ac:dyDescent="0.3">
      <c r="B232" s="3">
        <v>2434.75</v>
      </c>
      <c r="C232" s="3">
        <v>3247.86</v>
      </c>
      <c r="D232" s="13">
        <f t="shared" si="9"/>
        <v>6.5012103659528184E-2</v>
      </c>
      <c r="G232" s="3">
        <v>2434.75</v>
      </c>
      <c r="H232" s="19">
        <v>78</v>
      </c>
      <c r="I232" s="4">
        <f t="shared" si="10"/>
        <v>3.8053357728979893E-2</v>
      </c>
      <c r="M232" s="3">
        <v>2434.75</v>
      </c>
      <c r="N232" s="4">
        <v>1.96</v>
      </c>
      <c r="O232" s="4">
        <f t="shared" si="11"/>
        <v>2.9514503505282425E-2</v>
      </c>
    </row>
    <row r="233" spans="2:15" x14ac:dyDescent="0.3">
      <c r="B233" s="3">
        <v>2977.72</v>
      </c>
      <c r="C233" s="3">
        <v>3507.02</v>
      </c>
      <c r="D233" s="13">
        <f t="shared" si="9"/>
        <v>6.5012103659528184E-2</v>
      </c>
      <c r="G233" s="3">
        <v>2977.72</v>
      </c>
      <c r="H233" s="19">
        <v>60</v>
      </c>
      <c r="I233" s="4">
        <f t="shared" si="10"/>
        <v>3.8053357728979893E-2</v>
      </c>
      <c r="M233" s="3">
        <v>2977.72</v>
      </c>
      <c r="N233" s="4">
        <v>2.25</v>
      </c>
      <c r="O233" s="4">
        <f t="shared" si="11"/>
        <v>2.9514503505282425E-2</v>
      </c>
    </row>
    <row r="234" spans="2:15" x14ac:dyDescent="0.3">
      <c r="B234" s="3">
        <v>6114.9</v>
      </c>
      <c r="C234" s="3">
        <v>3331.04</v>
      </c>
      <c r="D234" s="13">
        <f t="shared" si="9"/>
        <v>6.5012103659528184E-2</v>
      </c>
      <c r="G234" s="3">
        <v>6114.9</v>
      </c>
      <c r="H234" s="19">
        <v>20</v>
      </c>
      <c r="I234" s="4">
        <f t="shared" si="10"/>
        <v>3.8053357728979893E-2</v>
      </c>
      <c r="M234" s="3">
        <v>6114.9</v>
      </c>
      <c r="N234" s="4">
        <v>2.02</v>
      </c>
      <c r="O234" s="4">
        <f t="shared" si="11"/>
        <v>2.9514503505282425E-2</v>
      </c>
    </row>
    <row r="235" spans="2:15" x14ac:dyDescent="0.3">
      <c r="B235" s="3">
        <v>5256.3</v>
      </c>
      <c r="C235" s="3">
        <v>2851.77</v>
      </c>
      <c r="D235" s="13">
        <f t="shared" si="9"/>
        <v>6.5012103659528184E-2</v>
      </c>
      <c r="G235" s="3">
        <v>5256.3</v>
      </c>
      <c r="H235" s="19">
        <v>21</v>
      </c>
      <c r="I235" s="4">
        <f t="shared" si="10"/>
        <v>3.8053357728979893E-2</v>
      </c>
      <c r="M235" s="3">
        <v>5256.3</v>
      </c>
      <c r="N235" s="4">
        <v>1.1200000000000001</v>
      </c>
      <c r="O235" s="4">
        <f t="shared" si="11"/>
        <v>2.9514503505282425E-2</v>
      </c>
    </row>
    <row r="236" spans="2:15" x14ac:dyDescent="0.3">
      <c r="B236" s="3">
        <v>4724.0200000000004</v>
      </c>
      <c r="C236" s="3">
        <v>2896.14</v>
      </c>
      <c r="D236" s="13">
        <f t="shared" si="9"/>
        <v>6.5012103659528184E-2</v>
      </c>
      <c r="G236" s="3">
        <v>4724.0200000000004</v>
      </c>
      <c r="H236" s="19">
        <v>83</v>
      </c>
      <c r="I236" s="4">
        <f t="shared" si="10"/>
        <v>3.8053357728979893E-2</v>
      </c>
      <c r="M236" s="3">
        <v>4724.0200000000004</v>
      </c>
      <c r="N236" s="4">
        <v>4.8899999999999997</v>
      </c>
      <c r="O236" s="4">
        <f t="shared" si="11"/>
        <v>2.9514503505282425E-2</v>
      </c>
    </row>
    <row r="237" spans="2:15" x14ac:dyDescent="0.3">
      <c r="B237" s="3">
        <v>5027.6499999999996</v>
      </c>
      <c r="C237" s="3">
        <v>3035.05</v>
      </c>
      <c r="D237" s="13">
        <f t="shared" si="9"/>
        <v>6.5012103659528184E-2</v>
      </c>
      <c r="G237" s="3">
        <v>5027.6499999999996</v>
      </c>
      <c r="H237" s="19">
        <v>17</v>
      </c>
      <c r="I237" s="4">
        <f t="shared" si="10"/>
        <v>3.8053357728979893E-2</v>
      </c>
      <c r="M237" s="3">
        <v>5027.6499999999996</v>
      </c>
      <c r="N237" s="4">
        <v>1.88</v>
      </c>
      <c r="O237" s="4">
        <f t="shared" si="11"/>
        <v>2.9514503505282425E-2</v>
      </c>
    </row>
    <row r="238" spans="2:15" x14ac:dyDescent="0.3">
      <c r="B238" s="3">
        <v>5521.37</v>
      </c>
      <c r="C238" s="3">
        <v>2882.4</v>
      </c>
      <c r="D238" s="13">
        <f t="shared" si="9"/>
        <v>6.5012103659528184E-2</v>
      </c>
      <c r="G238" s="3">
        <v>5521.37</v>
      </c>
      <c r="H238" s="19">
        <v>33</v>
      </c>
      <c r="I238" s="4">
        <f t="shared" si="10"/>
        <v>3.8053357728979893E-2</v>
      </c>
      <c r="M238" s="3">
        <v>5521.37</v>
      </c>
      <c r="N238" s="4">
        <v>3.94</v>
      </c>
      <c r="O238" s="4">
        <f t="shared" si="11"/>
        <v>2.9514503505282425E-2</v>
      </c>
    </row>
    <row r="239" spans="2:15" x14ac:dyDescent="0.3">
      <c r="B239" s="3">
        <v>4190.3599999999997</v>
      </c>
      <c r="C239" s="3">
        <v>3771.1</v>
      </c>
      <c r="D239" s="13">
        <f t="shared" si="9"/>
        <v>6.5012103659528184E-2</v>
      </c>
      <c r="G239" s="3">
        <v>4190.3599999999997</v>
      </c>
      <c r="H239" s="19">
        <v>50</v>
      </c>
      <c r="I239" s="4">
        <f t="shared" si="10"/>
        <v>3.8053357728979893E-2</v>
      </c>
      <c r="M239" s="3">
        <v>4190.3599999999997</v>
      </c>
      <c r="N239" s="4">
        <v>4.05</v>
      </c>
      <c r="O239" s="4">
        <f t="shared" si="11"/>
        <v>2.9514503505282425E-2</v>
      </c>
    </row>
    <row r="240" spans="2:15" x14ac:dyDescent="0.3">
      <c r="B240" s="3">
        <v>3832.54</v>
      </c>
      <c r="C240" s="3">
        <v>4768.42</v>
      </c>
      <c r="D240" s="13">
        <f t="shared" si="9"/>
        <v>6.5012103659528184E-2</v>
      </c>
      <c r="G240" s="3">
        <v>3832.54</v>
      </c>
      <c r="H240" s="19">
        <v>45</v>
      </c>
      <c r="I240" s="4">
        <f t="shared" si="10"/>
        <v>3.8053357728979893E-2</v>
      </c>
      <c r="M240" s="3">
        <v>3832.54</v>
      </c>
      <c r="N240" s="4">
        <v>4.72</v>
      </c>
      <c r="O240" s="4">
        <f t="shared" si="11"/>
        <v>2.9514503505282425E-2</v>
      </c>
    </row>
    <row r="241" spans="2:15" x14ac:dyDescent="0.3">
      <c r="B241" s="3">
        <v>5293.77</v>
      </c>
      <c r="C241" s="3">
        <v>2554.0100000000002</v>
      </c>
      <c r="D241" s="13">
        <f t="shared" si="9"/>
        <v>6.5012103659528184E-2</v>
      </c>
      <c r="G241" s="3">
        <v>5293.77</v>
      </c>
      <c r="H241" s="19">
        <v>94</v>
      </c>
      <c r="I241" s="4">
        <f t="shared" si="10"/>
        <v>3.8053357728979893E-2</v>
      </c>
      <c r="M241" s="3">
        <v>5293.77</v>
      </c>
      <c r="N241" s="4">
        <v>1.1200000000000001</v>
      </c>
      <c r="O241" s="4">
        <f t="shared" si="11"/>
        <v>2.9514503505282425E-2</v>
      </c>
    </row>
    <row r="242" spans="2:15" x14ac:dyDescent="0.3">
      <c r="B242" s="3">
        <v>3532.44</v>
      </c>
      <c r="C242" s="3">
        <v>1904.16</v>
      </c>
      <c r="D242" s="13">
        <f t="shared" si="9"/>
        <v>6.5012103659528184E-2</v>
      </c>
      <c r="G242" s="3">
        <v>3532.44</v>
      </c>
      <c r="H242" s="19">
        <v>81</v>
      </c>
      <c r="I242" s="4">
        <f t="shared" si="10"/>
        <v>3.8053357728979893E-2</v>
      </c>
      <c r="M242" s="3">
        <v>3532.44</v>
      </c>
      <c r="N242" s="4">
        <v>4.49</v>
      </c>
      <c r="O242" s="4">
        <f t="shared" si="11"/>
        <v>2.9514503505282425E-2</v>
      </c>
    </row>
    <row r="243" spans="2:15" x14ac:dyDescent="0.3">
      <c r="B243" s="3">
        <v>5612.38</v>
      </c>
      <c r="C243" s="3">
        <v>2929.37</v>
      </c>
      <c r="D243" s="13">
        <f t="shared" si="9"/>
        <v>6.5012103659528184E-2</v>
      </c>
      <c r="G243" s="3">
        <v>5612.38</v>
      </c>
      <c r="H243" s="19">
        <v>64</v>
      </c>
      <c r="I243" s="4">
        <f t="shared" si="10"/>
        <v>3.8053357728979893E-2</v>
      </c>
      <c r="M243" s="3">
        <v>5612.38</v>
      </c>
      <c r="N243" s="4">
        <v>3.11</v>
      </c>
      <c r="O243" s="4">
        <f t="shared" si="11"/>
        <v>2.9514503505282425E-2</v>
      </c>
    </row>
    <row r="244" spans="2:15" x14ac:dyDescent="0.3">
      <c r="B244" s="3">
        <v>2446.12</v>
      </c>
      <c r="C244" s="3">
        <v>5063.7700000000004</v>
      </c>
      <c r="D244" s="13">
        <f t="shared" si="9"/>
        <v>6.5012103659528184E-2</v>
      </c>
      <c r="G244" s="3">
        <v>2446.12</v>
      </c>
      <c r="H244" s="19">
        <v>18</v>
      </c>
      <c r="I244" s="4">
        <f t="shared" si="10"/>
        <v>3.8053357728979893E-2</v>
      </c>
      <c r="M244" s="3">
        <v>2446.12</v>
      </c>
      <c r="N244" s="4">
        <v>3.53</v>
      </c>
      <c r="O244" s="4">
        <f t="shared" si="11"/>
        <v>2.9514503505282425E-2</v>
      </c>
    </row>
    <row r="245" spans="2:15" x14ac:dyDescent="0.3">
      <c r="B245" s="3">
        <v>6543.73</v>
      </c>
      <c r="C245" s="3">
        <v>2357.06</v>
      </c>
      <c r="D245" s="13">
        <f t="shared" si="9"/>
        <v>6.5012103659528184E-2</v>
      </c>
      <c r="G245" s="3">
        <v>6543.73</v>
      </c>
      <c r="H245" s="19">
        <v>56</v>
      </c>
      <c r="I245" s="4">
        <f t="shared" si="10"/>
        <v>3.8053357728979893E-2</v>
      </c>
      <c r="M245" s="3">
        <v>6543.73</v>
      </c>
      <c r="N245" s="4">
        <v>3.58</v>
      </c>
      <c r="O245" s="4">
        <f t="shared" si="11"/>
        <v>2.9514503505282425E-2</v>
      </c>
    </row>
    <row r="246" spans="2:15" x14ac:dyDescent="0.3">
      <c r="B246" s="3">
        <v>5708.9</v>
      </c>
      <c r="C246" s="3">
        <v>4311.29</v>
      </c>
      <c r="D246" s="13">
        <f t="shared" si="9"/>
        <v>6.5012103659528184E-2</v>
      </c>
      <c r="G246" s="3">
        <v>5708.9</v>
      </c>
      <c r="H246" s="19">
        <v>24</v>
      </c>
      <c r="I246" s="4">
        <f t="shared" si="10"/>
        <v>3.8053357728979893E-2</v>
      </c>
      <c r="M246" s="3">
        <v>5708.9</v>
      </c>
      <c r="N246" s="4">
        <v>4.28</v>
      </c>
      <c r="O246" s="4">
        <f t="shared" si="11"/>
        <v>2.9514503505282425E-2</v>
      </c>
    </row>
    <row r="247" spans="2:15" x14ac:dyDescent="0.3">
      <c r="B247" s="3">
        <v>5384.04</v>
      </c>
      <c r="C247" s="3">
        <v>4342.16</v>
      </c>
      <c r="D247" s="13">
        <f t="shared" si="9"/>
        <v>6.5012103659528184E-2</v>
      </c>
      <c r="G247" s="3">
        <v>5384.04</v>
      </c>
      <c r="H247" s="19">
        <v>57</v>
      </c>
      <c r="I247" s="4">
        <f t="shared" si="10"/>
        <v>3.8053357728979893E-2</v>
      </c>
      <c r="M247" s="3">
        <v>5384.04</v>
      </c>
      <c r="N247" s="4">
        <v>2.33</v>
      </c>
      <c r="O247" s="4">
        <f t="shared" si="11"/>
        <v>2.9514503505282425E-2</v>
      </c>
    </row>
    <row r="248" spans="2:15" x14ac:dyDescent="0.3">
      <c r="B248" s="3">
        <v>6474.04</v>
      </c>
      <c r="C248" s="3">
        <v>2557.13</v>
      </c>
      <c r="D248" s="13">
        <f t="shared" si="9"/>
        <v>6.5012103659528184E-2</v>
      </c>
      <c r="G248" s="3">
        <v>6474.04</v>
      </c>
      <c r="H248" s="19">
        <v>91</v>
      </c>
      <c r="I248" s="4">
        <f t="shared" si="10"/>
        <v>3.8053357728979893E-2</v>
      </c>
      <c r="M248" s="3">
        <v>6474.04</v>
      </c>
      <c r="N248" s="4">
        <v>3.93</v>
      </c>
      <c r="O248" s="4">
        <f t="shared" si="11"/>
        <v>2.9514503505282425E-2</v>
      </c>
    </row>
    <row r="249" spans="2:15" x14ac:dyDescent="0.3">
      <c r="B249" s="3">
        <v>7498.21</v>
      </c>
      <c r="C249" s="3">
        <v>3455.19</v>
      </c>
      <c r="D249" s="13">
        <f t="shared" si="9"/>
        <v>6.5012103659528184E-2</v>
      </c>
      <c r="G249" s="3">
        <v>7498.21</v>
      </c>
      <c r="H249" s="19">
        <v>51</v>
      </c>
      <c r="I249" s="4">
        <f t="shared" si="10"/>
        <v>3.8053357728979893E-2</v>
      </c>
      <c r="M249" s="3">
        <v>7498.21</v>
      </c>
      <c r="N249" s="4">
        <v>3.11</v>
      </c>
      <c r="O249" s="4">
        <f t="shared" si="11"/>
        <v>2.9514503505282425E-2</v>
      </c>
    </row>
    <row r="250" spans="2:15" x14ac:dyDescent="0.3">
      <c r="B250" s="3">
        <v>6521.56</v>
      </c>
      <c r="C250" s="3">
        <v>4302.72</v>
      </c>
      <c r="D250" s="13">
        <f t="shared" si="9"/>
        <v>6.5012103659528184E-2</v>
      </c>
      <c r="G250" s="3">
        <v>6521.56</v>
      </c>
      <c r="H250" s="19">
        <v>69</v>
      </c>
      <c r="I250" s="4">
        <f t="shared" si="10"/>
        <v>3.8053357728979893E-2</v>
      </c>
      <c r="M250" s="3">
        <v>6521.56</v>
      </c>
      <c r="N250" s="4">
        <v>4.17</v>
      </c>
      <c r="O250" s="4">
        <f t="shared" si="11"/>
        <v>2.9514503505282425E-2</v>
      </c>
    </row>
    <row r="251" spans="2:15" x14ac:dyDescent="0.3">
      <c r="B251" s="3">
        <v>2238.69</v>
      </c>
      <c r="C251" s="3">
        <v>2696.7</v>
      </c>
      <c r="D251" s="13">
        <f t="shared" si="9"/>
        <v>6.5012103659528184E-2</v>
      </c>
      <c r="G251" s="3">
        <v>2238.69</v>
      </c>
      <c r="H251" s="19">
        <v>93</v>
      </c>
      <c r="I251" s="4">
        <f t="shared" si="10"/>
        <v>3.8053357728979893E-2</v>
      </c>
      <c r="M251" s="3">
        <v>2238.69</v>
      </c>
      <c r="N251" s="4">
        <v>4.96</v>
      </c>
      <c r="O251" s="4">
        <f t="shared" si="11"/>
        <v>2.9514503505282425E-2</v>
      </c>
    </row>
    <row r="252" spans="2:15" x14ac:dyDescent="0.3">
      <c r="B252" s="3">
        <v>3080.63</v>
      </c>
      <c r="C252" s="3">
        <v>2837.14</v>
      </c>
      <c r="D252" s="13">
        <f t="shared" si="9"/>
        <v>6.5012103659528184E-2</v>
      </c>
      <c r="G252" s="3">
        <v>3080.63</v>
      </c>
      <c r="H252" s="19">
        <v>79</v>
      </c>
      <c r="I252" s="4">
        <f t="shared" si="10"/>
        <v>3.8053357728979893E-2</v>
      </c>
      <c r="M252" s="3">
        <v>3080.63</v>
      </c>
      <c r="N252" s="4">
        <v>1.8</v>
      </c>
      <c r="O252" s="4">
        <f t="shared" si="11"/>
        <v>2.9514503505282425E-2</v>
      </c>
    </row>
    <row r="253" spans="2:15" x14ac:dyDescent="0.3">
      <c r="B253" s="3">
        <v>4062.77</v>
      </c>
      <c r="C253" s="3">
        <v>2534.66</v>
      </c>
      <c r="D253" s="13">
        <f t="shared" si="9"/>
        <v>6.5012103659528184E-2</v>
      </c>
      <c r="G253" s="3">
        <v>4062.77</v>
      </c>
      <c r="H253" s="19">
        <v>21</v>
      </c>
      <c r="I253" s="4">
        <f t="shared" si="10"/>
        <v>3.8053357728979893E-2</v>
      </c>
      <c r="M253" s="3">
        <v>4062.77</v>
      </c>
      <c r="N253" s="4">
        <v>4.9800000000000004</v>
      </c>
      <c r="O253" s="4">
        <f t="shared" si="11"/>
        <v>2.9514503505282425E-2</v>
      </c>
    </row>
    <row r="254" spans="2:15" x14ac:dyDescent="0.3">
      <c r="B254" s="3">
        <v>5039.1400000000003</v>
      </c>
      <c r="C254" s="3">
        <v>2188.19</v>
      </c>
      <c r="D254" s="13">
        <f t="shared" si="9"/>
        <v>6.5012103659528184E-2</v>
      </c>
      <c r="G254" s="3">
        <v>5039.1400000000003</v>
      </c>
      <c r="H254" s="19">
        <v>11</v>
      </c>
      <c r="I254" s="4">
        <f t="shared" si="10"/>
        <v>3.8053357728979893E-2</v>
      </c>
      <c r="M254" s="3">
        <v>5039.1400000000003</v>
      </c>
      <c r="N254" s="4">
        <v>1.36</v>
      </c>
      <c r="O254" s="4">
        <f t="shared" si="11"/>
        <v>2.9514503505282425E-2</v>
      </c>
    </row>
    <row r="255" spans="2:15" x14ac:dyDescent="0.3">
      <c r="B255" s="3">
        <v>5776.49</v>
      </c>
      <c r="C255" s="3">
        <v>2480.58</v>
      </c>
      <c r="D255" s="13">
        <f t="shared" si="9"/>
        <v>6.5012103659528184E-2</v>
      </c>
      <c r="G255" s="3">
        <v>5776.49</v>
      </c>
      <c r="H255" s="19">
        <v>16</v>
      </c>
      <c r="I255" s="4">
        <f t="shared" si="10"/>
        <v>3.8053357728979893E-2</v>
      </c>
      <c r="M255" s="3">
        <v>5776.49</v>
      </c>
      <c r="N255" s="4">
        <v>1.01</v>
      </c>
      <c r="O255" s="4">
        <f t="shared" si="11"/>
        <v>2.9514503505282425E-2</v>
      </c>
    </row>
    <row r="256" spans="2:15" x14ac:dyDescent="0.3">
      <c r="B256" s="3">
        <v>3911.38</v>
      </c>
      <c r="C256" s="3">
        <v>2020.85</v>
      </c>
      <c r="D256" s="13">
        <f t="shared" si="9"/>
        <v>6.5012103659528184E-2</v>
      </c>
      <c r="G256" s="3">
        <v>3911.38</v>
      </c>
      <c r="H256" s="19">
        <v>89</v>
      </c>
      <c r="I256" s="4">
        <f t="shared" si="10"/>
        <v>3.8053357728979893E-2</v>
      </c>
      <c r="M256" s="3">
        <v>3911.38</v>
      </c>
      <c r="N256" s="4">
        <v>1.18</v>
      </c>
      <c r="O256" s="4">
        <f t="shared" si="11"/>
        <v>2.9514503505282425E-2</v>
      </c>
    </row>
    <row r="257" spans="2:15" x14ac:dyDescent="0.3">
      <c r="B257" s="3">
        <v>5280.15</v>
      </c>
      <c r="C257" s="3">
        <v>3027.27</v>
      </c>
      <c r="D257" s="13">
        <f t="shared" si="9"/>
        <v>6.5012103659528184E-2</v>
      </c>
      <c r="G257" s="3">
        <v>5280.15</v>
      </c>
      <c r="H257" s="19">
        <v>12</v>
      </c>
      <c r="I257" s="4">
        <f t="shared" si="10"/>
        <v>3.8053357728979893E-2</v>
      </c>
      <c r="M257" s="3">
        <v>5280.15</v>
      </c>
      <c r="N257" s="4">
        <v>2.37</v>
      </c>
      <c r="O257" s="4">
        <f t="shared" si="11"/>
        <v>2.9514503505282425E-2</v>
      </c>
    </row>
    <row r="258" spans="2:15" x14ac:dyDescent="0.3">
      <c r="B258" s="3">
        <v>3866.93</v>
      </c>
      <c r="C258" s="3">
        <v>2384.02</v>
      </c>
      <c r="D258" s="13">
        <f t="shared" si="9"/>
        <v>6.5012103659528184E-2</v>
      </c>
      <c r="G258" s="3">
        <v>3866.93</v>
      </c>
      <c r="H258" s="19">
        <v>12</v>
      </c>
      <c r="I258" s="4">
        <f t="shared" si="10"/>
        <v>3.8053357728979893E-2</v>
      </c>
      <c r="M258" s="3">
        <v>3866.93</v>
      </c>
      <c r="N258" s="4">
        <v>3.53</v>
      </c>
      <c r="O258" s="4">
        <f t="shared" si="11"/>
        <v>2.9514503505282425E-2</v>
      </c>
    </row>
    <row r="259" spans="2:15" x14ac:dyDescent="0.3">
      <c r="B259" s="3">
        <v>4082.72</v>
      </c>
      <c r="C259" s="3">
        <v>3187.03</v>
      </c>
      <c r="D259" s="13">
        <f t="shared" si="9"/>
        <v>6.5012103659528184E-2</v>
      </c>
      <c r="G259" s="3">
        <v>4082.72</v>
      </c>
      <c r="H259" s="19">
        <v>36</v>
      </c>
      <c r="I259" s="4">
        <f t="shared" si="10"/>
        <v>3.8053357728979893E-2</v>
      </c>
      <c r="M259" s="3">
        <v>4082.72</v>
      </c>
      <c r="N259" s="4">
        <v>1.28</v>
      </c>
      <c r="O259" s="4">
        <f t="shared" si="11"/>
        <v>2.9514503505282425E-2</v>
      </c>
    </row>
    <row r="260" spans="2:15" x14ac:dyDescent="0.3">
      <c r="B260" s="3">
        <v>2890.01</v>
      </c>
      <c r="C260" s="3">
        <v>1755.28</v>
      </c>
      <c r="D260" s="13">
        <f t="shared" si="9"/>
        <v>6.5012103659528184E-2</v>
      </c>
      <c r="G260" s="3">
        <v>2890.01</v>
      </c>
      <c r="H260" s="19">
        <v>49</v>
      </c>
      <c r="I260" s="4">
        <f t="shared" si="10"/>
        <v>3.8053357728979893E-2</v>
      </c>
      <c r="M260" s="3">
        <v>2890.01</v>
      </c>
      <c r="N260" s="4">
        <v>1.02</v>
      </c>
      <c r="O260" s="4">
        <f t="shared" si="11"/>
        <v>2.9514503505282425E-2</v>
      </c>
    </row>
    <row r="261" spans="2:15" x14ac:dyDescent="0.3">
      <c r="B261" s="3">
        <v>3615.15</v>
      </c>
      <c r="C261" s="3">
        <v>3264.7</v>
      </c>
      <c r="D261" s="13">
        <f t="shared" si="9"/>
        <v>6.5012103659528184E-2</v>
      </c>
      <c r="G261" s="3">
        <v>3615.15</v>
      </c>
      <c r="H261" s="19">
        <v>42</v>
      </c>
      <c r="I261" s="4">
        <f t="shared" si="10"/>
        <v>3.8053357728979893E-2</v>
      </c>
      <c r="M261" s="3">
        <v>3615.15</v>
      </c>
      <c r="N261" s="4">
        <v>4.75</v>
      </c>
      <c r="O261" s="4">
        <f t="shared" si="11"/>
        <v>2.9514503505282425E-2</v>
      </c>
    </row>
    <row r="262" spans="2:15" x14ac:dyDescent="0.3">
      <c r="B262" s="3">
        <v>2972.47</v>
      </c>
      <c r="C262" s="3">
        <v>3666.82</v>
      </c>
      <c r="D262" s="13">
        <f t="shared" ref="D262:D325" si="12">CORREL(B:B,C:C)</f>
        <v>6.5012103659528184E-2</v>
      </c>
      <c r="G262" s="3">
        <v>2972.47</v>
      </c>
      <c r="H262" s="19">
        <v>10</v>
      </c>
      <c r="I262" s="4">
        <f t="shared" ref="I262:I325" si="13">CORREL(G:G,H:H)</f>
        <v>3.8053357728979893E-2</v>
      </c>
      <c r="M262" s="3">
        <v>2972.47</v>
      </c>
      <c r="N262" s="4">
        <v>4.29</v>
      </c>
      <c r="O262" s="4">
        <f t="shared" ref="O262:O325" si="14">CORREL(M:M,N:N)</f>
        <v>2.9514503505282425E-2</v>
      </c>
    </row>
    <row r="263" spans="2:15" x14ac:dyDescent="0.3">
      <c r="B263" s="3">
        <v>3536.19</v>
      </c>
      <c r="C263" s="3">
        <v>1405.01</v>
      </c>
      <c r="D263" s="13">
        <f t="shared" si="12"/>
        <v>6.5012103659528184E-2</v>
      </c>
      <c r="G263" s="3">
        <v>3536.19</v>
      </c>
      <c r="H263" s="19">
        <v>17</v>
      </c>
      <c r="I263" s="4">
        <f t="shared" si="13"/>
        <v>3.8053357728979893E-2</v>
      </c>
      <c r="M263" s="3">
        <v>3536.19</v>
      </c>
      <c r="N263" s="4">
        <v>4.24</v>
      </c>
      <c r="O263" s="4">
        <f t="shared" si="14"/>
        <v>2.9514503505282425E-2</v>
      </c>
    </row>
    <row r="264" spans="2:15" x14ac:dyDescent="0.3">
      <c r="B264" s="3">
        <v>6580.46</v>
      </c>
      <c r="C264" s="3">
        <v>3299.25</v>
      </c>
      <c r="D264" s="13">
        <f t="shared" si="12"/>
        <v>6.5012103659528184E-2</v>
      </c>
      <c r="G264" s="3">
        <v>6580.46</v>
      </c>
      <c r="H264" s="19">
        <v>41</v>
      </c>
      <c r="I264" s="4">
        <f t="shared" si="13"/>
        <v>3.8053357728979893E-2</v>
      </c>
      <c r="M264" s="3">
        <v>6580.46</v>
      </c>
      <c r="N264" s="4">
        <v>4.54</v>
      </c>
      <c r="O264" s="4">
        <f t="shared" si="14"/>
        <v>2.9514503505282425E-2</v>
      </c>
    </row>
    <row r="265" spans="2:15" x14ac:dyDescent="0.3">
      <c r="B265" s="3">
        <v>3575.9</v>
      </c>
      <c r="C265" s="3">
        <v>3982.14</v>
      </c>
      <c r="D265" s="13">
        <f t="shared" si="12"/>
        <v>6.5012103659528184E-2</v>
      </c>
      <c r="G265" s="3">
        <v>3575.9</v>
      </c>
      <c r="H265" s="19">
        <v>57</v>
      </c>
      <c r="I265" s="4">
        <f t="shared" si="13"/>
        <v>3.8053357728979893E-2</v>
      </c>
      <c r="M265" s="3">
        <v>3575.9</v>
      </c>
      <c r="N265" s="4">
        <v>3.8</v>
      </c>
      <c r="O265" s="4">
        <f t="shared" si="14"/>
        <v>2.9514503505282425E-2</v>
      </c>
    </row>
    <row r="266" spans="2:15" x14ac:dyDescent="0.3">
      <c r="B266" s="3">
        <v>8948.57</v>
      </c>
      <c r="C266" s="3">
        <v>2032.29</v>
      </c>
      <c r="D266" s="13">
        <f t="shared" si="12"/>
        <v>6.5012103659528184E-2</v>
      </c>
      <c r="G266" s="3">
        <v>8948.57</v>
      </c>
      <c r="H266" s="19">
        <v>13</v>
      </c>
      <c r="I266" s="4">
        <f t="shared" si="13"/>
        <v>3.8053357728979893E-2</v>
      </c>
      <c r="M266" s="3">
        <v>8948.57</v>
      </c>
      <c r="N266" s="4">
        <v>1.42</v>
      </c>
      <c r="O266" s="4">
        <f t="shared" si="14"/>
        <v>2.9514503505282425E-2</v>
      </c>
    </row>
    <row r="267" spans="2:15" x14ac:dyDescent="0.3">
      <c r="B267" s="3">
        <v>5739.98</v>
      </c>
      <c r="C267" s="3">
        <v>4338.0600000000004</v>
      </c>
      <c r="D267" s="13">
        <f t="shared" si="12"/>
        <v>6.5012103659528184E-2</v>
      </c>
      <c r="G267" s="3">
        <v>5739.98</v>
      </c>
      <c r="H267" s="19">
        <v>79</v>
      </c>
      <c r="I267" s="4">
        <f t="shared" si="13"/>
        <v>3.8053357728979893E-2</v>
      </c>
      <c r="M267" s="3">
        <v>5739.98</v>
      </c>
      <c r="N267" s="4">
        <v>2.6</v>
      </c>
      <c r="O267" s="4">
        <f t="shared" si="14"/>
        <v>2.9514503505282425E-2</v>
      </c>
    </row>
    <row r="268" spans="2:15" x14ac:dyDescent="0.3">
      <c r="B268" s="3">
        <v>5277.25</v>
      </c>
      <c r="C268" s="3">
        <v>3335.22</v>
      </c>
      <c r="D268" s="13">
        <f t="shared" si="12"/>
        <v>6.5012103659528184E-2</v>
      </c>
      <c r="G268" s="3">
        <v>5277.25</v>
      </c>
      <c r="H268" s="19">
        <v>28</v>
      </c>
      <c r="I268" s="4">
        <f t="shared" si="13"/>
        <v>3.8053357728979893E-2</v>
      </c>
      <c r="M268" s="3">
        <v>5277.25</v>
      </c>
      <c r="N268" s="4">
        <v>3.89</v>
      </c>
      <c r="O268" s="4">
        <f t="shared" si="14"/>
        <v>2.9514503505282425E-2</v>
      </c>
    </row>
    <row r="269" spans="2:15" x14ac:dyDescent="0.3">
      <c r="B269" s="3">
        <v>3712.46</v>
      </c>
      <c r="C269" s="3">
        <v>2435.9899999999998</v>
      </c>
      <c r="D269" s="13">
        <f t="shared" si="12"/>
        <v>6.5012103659528184E-2</v>
      </c>
      <c r="G269" s="3">
        <v>3712.46</v>
      </c>
      <c r="H269" s="19">
        <v>41</v>
      </c>
      <c r="I269" s="4">
        <f t="shared" si="13"/>
        <v>3.8053357728979893E-2</v>
      </c>
      <c r="M269" s="3">
        <v>3712.46</v>
      </c>
      <c r="N269" s="4">
        <v>2.12</v>
      </c>
      <c r="O269" s="4">
        <f t="shared" si="14"/>
        <v>2.9514503505282425E-2</v>
      </c>
    </row>
    <row r="270" spans="2:15" x14ac:dyDescent="0.3">
      <c r="B270" s="3">
        <v>6050.46</v>
      </c>
      <c r="C270" s="3">
        <v>2955.38</v>
      </c>
      <c r="D270" s="13">
        <f t="shared" si="12"/>
        <v>6.5012103659528184E-2</v>
      </c>
      <c r="G270" s="3">
        <v>6050.46</v>
      </c>
      <c r="H270" s="19">
        <v>18</v>
      </c>
      <c r="I270" s="4">
        <f t="shared" si="13"/>
        <v>3.8053357728979893E-2</v>
      </c>
      <c r="M270" s="3">
        <v>6050.46</v>
      </c>
      <c r="N270" s="4">
        <v>3.75</v>
      </c>
      <c r="O270" s="4">
        <f t="shared" si="14"/>
        <v>2.9514503505282425E-2</v>
      </c>
    </row>
    <row r="271" spans="2:15" x14ac:dyDescent="0.3">
      <c r="B271" s="3">
        <v>4136.54</v>
      </c>
      <c r="C271" s="3">
        <v>3446.66</v>
      </c>
      <c r="D271" s="13">
        <f t="shared" si="12"/>
        <v>6.5012103659528184E-2</v>
      </c>
      <c r="G271" s="3">
        <v>4136.54</v>
      </c>
      <c r="H271" s="19">
        <v>21</v>
      </c>
      <c r="I271" s="4">
        <f t="shared" si="13"/>
        <v>3.8053357728979893E-2</v>
      </c>
      <c r="M271" s="3">
        <v>4136.54</v>
      </c>
      <c r="N271" s="4">
        <v>1.1000000000000001</v>
      </c>
      <c r="O271" s="4">
        <f t="shared" si="14"/>
        <v>2.9514503505282425E-2</v>
      </c>
    </row>
    <row r="272" spans="2:15" x14ac:dyDescent="0.3">
      <c r="B272" s="3">
        <v>5183.01</v>
      </c>
      <c r="C272" s="3">
        <v>3060.8</v>
      </c>
      <c r="D272" s="13">
        <f t="shared" si="12"/>
        <v>6.5012103659528184E-2</v>
      </c>
      <c r="G272" s="3">
        <v>5183.01</v>
      </c>
      <c r="H272" s="19">
        <v>20</v>
      </c>
      <c r="I272" s="4">
        <f t="shared" si="13"/>
        <v>3.8053357728979893E-2</v>
      </c>
      <c r="M272" s="3">
        <v>5183.01</v>
      </c>
      <c r="N272" s="4">
        <v>2.2200000000000002</v>
      </c>
      <c r="O272" s="4">
        <f t="shared" si="14"/>
        <v>2.9514503505282425E-2</v>
      </c>
    </row>
    <row r="273" spans="2:15" x14ac:dyDescent="0.3">
      <c r="B273" s="3">
        <v>8840.1299999999992</v>
      </c>
      <c r="C273" s="3">
        <v>3431</v>
      </c>
      <c r="D273" s="13">
        <f t="shared" si="12"/>
        <v>6.5012103659528184E-2</v>
      </c>
      <c r="G273" s="3">
        <v>8840.1299999999992</v>
      </c>
      <c r="H273" s="19">
        <v>55</v>
      </c>
      <c r="I273" s="4">
        <f t="shared" si="13"/>
        <v>3.8053357728979893E-2</v>
      </c>
      <c r="M273" s="3">
        <v>8840.1299999999992</v>
      </c>
      <c r="N273" s="4">
        <v>3.2</v>
      </c>
      <c r="O273" s="4">
        <f t="shared" si="14"/>
        <v>2.9514503505282425E-2</v>
      </c>
    </row>
    <row r="274" spans="2:15" x14ac:dyDescent="0.3">
      <c r="B274" s="3">
        <v>4855.91</v>
      </c>
      <c r="C274" s="3">
        <v>2263.46</v>
      </c>
      <c r="D274" s="13">
        <f t="shared" si="12"/>
        <v>6.5012103659528184E-2</v>
      </c>
      <c r="G274" s="3">
        <v>4855.91</v>
      </c>
      <c r="H274" s="19">
        <v>25</v>
      </c>
      <c r="I274" s="4">
        <f t="shared" si="13"/>
        <v>3.8053357728979893E-2</v>
      </c>
      <c r="M274" s="3">
        <v>4855.91</v>
      </c>
      <c r="N274" s="4">
        <v>3.53</v>
      </c>
      <c r="O274" s="4">
        <f t="shared" si="14"/>
        <v>2.9514503505282425E-2</v>
      </c>
    </row>
    <row r="275" spans="2:15" x14ac:dyDescent="0.3">
      <c r="B275" s="3">
        <v>6723.91</v>
      </c>
      <c r="C275" s="3">
        <v>3135.49</v>
      </c>
      <c r="D275" s="13">
        <f t="shared" si="12"/>
        <v>6.5012103659528184E-2</v>
      </c>
      <c r="G275" s="3">
        <v>6723.91</v>
      </c>
      <c r="H275" s="19">
        <v>10</v>
      </c>
      <c r="I275" s="4">
        <f t="shared" si="13"/>
        <v>3.8053357728979893E-2</v>
      </c>
      <c r="M275" s="3">
        <v>6723.91</v>
      </c>
      <c r="N275" s="4">
        <v>3.31</v>
      </c>
      <c r="O275" s="4">
        <f t="shared" si="14"/>
        <v>2.9514503505282425E-2</v>
      </c>
    </row>
    <row r="276" spans="2:15" x14ac:dyDescent="0.3">
      <c r="B276" s="3">
        <v>3945.24</v>
      </c>
      <c r="C276" s="3">
        <v>1869.03</v>
      </c>
      <c r="D276" s="13">
        <f t="shared" si="12"/>
        <v>6.5012103659528184E-2</v>
      </c>
      <c r="G276" s="3">
        <v>3945.24</v>
      </c>
      <c r="H276" s="19">
        <v>72</v>
      </c>
      <c r="I276" s="4">
        <f t="shared" si="13"/>
        <v>3.8053357728979893E-2</v>
      </c>
      <c r="M276" s="3">
        <v>3945.24</v>
      </c>
      <c r="N276" s="4">
        <v>3.79</v>
      </c>
      <c r="O276" s="4">
        <f t="shared" si="14"/>
        <v>2.9514503505282425E-2</v>
      </c>
    </row>
    <row r="277" spans="2:15" x14ac:dyDescent="0.3">
      <c r="B277" s="3">
        <v>4947.5200000000004</v>
      </c>
      <c r="C277" s="3">
        <v>2911.02</v>
      </c>
      <c r="D277" s="13">
        <f t="shared" si="12"/>
        <v>6.5012103659528184E-2</v>
      </c>
      <c r="G277" s="3">
        <v>4947.5200000000004</v>
      </c>
      <c r="H277" s="19">
        <v>30</v>
      </c>
      <c r="I277" s="4">
        <f t="shared" si="13"/>
        <v>3.8053357728979893E-2</v>
      </c>
      <c r="M277" s="3">
        <v>4947.5200000000004</v>
      </c>
      <c r="N277" s="4">
        <v>1.02</v>
      </c>
      <c r="O277" s="4">
        <f t="shared" si="14"/>
        <v>2.9514503505282425E-2</v>
      </c>
    </row>
    <row r="278" spans="2:15" x14ac:dyDescent="0.3">
      <c r="B278" s="3">
        <v>7656.2</v>
      </c>
      <c r="C278" s="3">
        <v>2276.87</v>
      </c>
      <c r="D278" s="13">
        <f t="shared" si="12"/>
        <v>6.5012103659528184E-2</v>
      </c>
      <c r="G278" s="3">
        <v>7656.2</v>
      </c>
      <c r="H278" s="19">
        <v>39</v>
      </c>
      <c r="I278" s="4">
        <f t="shared" si="13"/>
        <v>3.8053357728979893E-2</v>
      </c>
      <c r="M278" s="3">
        <v>7656.2</v>
      </c>
      <c r="N278" s="4">
        <v>1.4</v>
      </c>
      <c r="O278" s="4">
        <f t="shared" si="14"/>
        <v>2.9514503505282425E-2</v>
      </c>
    </row>
    <row r="279" spans="2:15" x14ac:dyDescent="0.3">
      <c r="B279" s="3">
        <v>4059.55</v>
      </c>
      <c r="C279" s="3">
        <v>2411.58</v>
      </c>
      <c r="D279" s="13">
        <f t="shared" si="12"/>
        <v>6.5012103659528184E-2</v>
      </c>
      <c r="G279" s="3">
        <v>4059.55</v>
      </c>
      <c r="H279" s="19">
        <v>22</v>
      </c>
      <c r="I279" s="4">
        <f t="shared" si="13"/>
        <v>3.8053357728979893E-2</v>
      </c>
      <c r="M279" s="3">
        <v>4059.55</v>
      </c>
      <c r="N279" s="4">
        <v>4.4800000000000004</v>
      </c>
      <c r="O279" s="4">
        <f t="shared" si="14"/>
        <v>2.9514503505282425E-2</v>
      </c>
    </row>
    <row r="280" spans="2:15" x14ac:dyDescent="0.3">
      <c r="B280" s="3">
        <v>7718.67</v>
      </c>
      <c r="C280" s="3">
        <v>3988.87</v>
      </c>
      <c r="D280" s="13">
        <f t="shared" si="12"/>
        <v>6.5012103659528184E-2</v>
      </c>
      <c r="G280" s="3">
        <v>7718.67</v>
      </c>
      <c r="H280" s="19">
        <v>43</v>
      </c>
      <c r="I280" s="4">
        <f t="shared" si="13"/>
        <v>3.8053357728979893E-2</v>
      </c>
      <c r="M280" s="3">
        <v>7718.67</v>
      </c>
      <c r="N280" s="4">
        <v>3.73</v>
      </c>
      <c r="O280" s="4">
        <f t="shared" si="14"/>
        <v>2.9514503505282425E-2</v>
      </c>
    </row>
    <row r="281" spans="2:15" x14ac:dyDescent="0.3">
      <c r="B281" s="3">
        <v>6061.63</v>
      </c>
      <c r="C281" s="3">
        <v>3873.05</v>
      </c>
      <c r="D281" s="13">
        <f t="shared" si="12"/>
        <v>6.5012103659528184E-2</v>
      </c>
      <c r="G281" s="3">
        <v>6061.63</v>
      </c>
      <c r="H281" s="19">
        <v>13</v>
      </c>
      <c r="I281" s="4">
        <f t="shared" si="13"/>
        <v>3.8053357728979893E-2</v>
      </c>
      <c r="M281" s="3">
        <v>6061.63</v>
      </c>
      <c r="N281" s="4">
        <v>1.45</v>
      </c>
      <c r="O281" s="4">
        <f t="shared" si="14"/>
        <v>2.9514503505282425E-2</v>
      </c>
    </row>
    <row r="282" spans="2:15" x14ac:dyDescent="0.3">
      <c r="B282" s="3">
        <v>4156.3</v>
      </c>
      <c r="C282" s="3">
        <v>3487.31</v>
      </c>
      <c r="D282" s="13">
        <f t="shared" si="12"/>
        <v>6.5012103659528184E-2</v>
      </c>
      <c r="G282" s="3">
        <v>4156.3</v>
      </c>
      <c r="H282" s="19">
        <v>37</v>
      </c>
      <c r="I282" s="4">
        <f t="shared" si="13"/>
        <v>3.8053357728979893E-2</v>
      </c>
      <c r="M282" s="3">
        <v>4156.3</v>
      </c>
      <c r="N282" s="4">
        <v>4.37</v>
      </c>
      <c r="O282" s="4">
        <f t="shared" si="14"/>
        <v>2.9514503505282425E-2</v>
      </c>
    </row>
    <row r="283" spans="2:15" x14ac:dyDescent="0.3">
      <c r="B283" s="3">
        <v>5948.61</v>
      </c>
      <c r="C283" s="3">
        <v>2126.15</v>
      </c>
      <c r="D283" s="13">
        <f t="shared" si="12"/>
        <v>6.5012103659528184E-2</v>
      </c>
      <c r="G283" s="3">
        <v>5948.61</v>
      </c>
      <c r="H283" s="19">
        <v>68</v>
      </c>
      <c r="I283" s="4">
        <f t="shared" si="13"/>
        <v>3.8053357728979893E-2</v>
      </c>
      <c r="M283" s="3">
        <v>5948.61</v>
      </c>
      <c r="N283" s="4">
        <v>1.97</v>
      </c>
      <c r="O283" s="4">
        <f t="shared" si="14"/>
        <v>2.9514503505282425E-2</v>
      </c>
    </row>
    <row r="284" spans="2:15" x14ac:dyDescent="0.3">
      <c r="B284" s="3">
        <v>6458.83</v>
      </c>
      <c r="C284" s="3">
        <v>2746.87</v>
      </c>
      <c r="D284" s="13">
        <f t="shared" si="12"/>
        <v>6.5012103659528184E-2</v>
      </c>
      <c r="G284" s="3">
        <v>6458.83</v>
      </c>
      <c r="H284" s="19">
        <v>36</v>
      </c>
      <c r="I284" s="4">
        <f t="shared" si="13"/>
        <v>3.8053357728979893E-2</v>
      </c>
      <c r="M284" s="3">
        <v>6458.83</v>
      </c>
      <c r="N284" s="4">
        <v>2.91</v>
      </c>
      <c r="O284" s="4">
        <f t="shared" si="14"/>
        <v>2.9514503505282425E-2</v>
      </c>
    </row>
    <row r="285" spans="2:15" x14ac:dyDescent="0.3">
      <c r="B285" s="3">
        <v>5932.71</v>
      </c>
      <c r="C285" s="3">
        <v>3970.48</v>
      </c>
      <c r="D285" s="13">
        <f t="shared" si="12"/>
        <v>6.5012103659528184E-2</v>
      </c>
      <c r="G285" s="3">
        <v>5932.71</v>
      </c>
      <c r="H285" s="19">
        <v>78</v>
      </c>
      <c r="I285" s="4">
        <f t="shared" si="13"/>
        <v>3.8053357728979893E-2</v>
      </c>
      <c r="M285" s="3">
        <v>5932.71</v>
      </c>
      <c r="N285" s="4">
        <v>1.58</v>
      </c>
      <c r="O285" s="4">
        <f t="shared" si="14"/>
        <v>2.9514503505282425E-2</v>
      </c>
    </row>
    <row r="286" spans="2:15" x14ac:dyDescent="0.3">
      <c r="B286" s="3">
        <v>2644.66</v>
      </c>
      <c r="C286" s="3">
        <v>3113.37</v>
      </c>
      <c r="D286" s="13">
        <f t="shared" si="12"/>
        <v>6.5012103659528184E-2</v>
      </c>
      <c r="G286" s="3">
        <v>2644.66</v>
      </c>
      <c r="H286" s="19">
        <v>34</v>
      </c>
      <c r="I286" s="4">
        <f t="shared" si="13"/>
        <v>3.8053357728979893E-2</v>
      </c>
      <c r="M286" s="3">
        <v>2644.66</v>
      </c>
      <c r="N286" s="4">
        <v>3.84</v>
      </c>
      <c r="O286" s="4">
        <f t="shared" si="14"/>
        <v>2.9514503505282425E-2</v>
      </c>
    </row>
    <row r="287" spans="2:15" x14ac:dyDescent="0.3">
      <c r="B287" s="3">
        <v>3909.29</v>
      </c>
      <c r="C287" s="3">
        <v>4855.46</v>
      </c>
      <c r="D287" s="13">
        <f t="shared" si="12"/>
        <v>6.5012103659528184E-2</v>
      </c>
      <c r="G287" s="3">
        <v>3909.29</v>
      </c>
      <c r="H287" s="19">
        <v>12</v>
      </c>
      <c r="I287" s="4">
        <f t="shared" si="13"/>
        <v>3.8053357728979893E-2</v>
      </c>
      <c r="M287" s="3">
        <v>3909.29</v>
      </c>
      <c r="N287" s="4">
        <v>3.67</v>
      </c>
      <c r="O287" s="4">
        <f t="shared" si="14"/>
        <v>2.9514503505282425E-2</v>
      </c>
    </row>
    <row r="288" spans="2:15" x14ac:dyDescent="0.3">
      <c r="B288" s="3">
        <v>4628.72</v>
      </c>
      <c r="C288" s="3">
        <v>3314.65</v>
      </c>
      <c r="D288" s="13">
        <f t="shared" si="12"/>
        <v>6.5012103659528184E-2</v>
      </c>
      <c r="G288" s="3">
        <v>4628.72</v>
      </c>
      <c r="H288" s="19">
        <v>77</v>
      </c>
      <c r="I288" s="4">
        <f t="shared" si="13"/>
        <v>3.8053357728979893E-2</v>
      </c>
      <c r="M288" s="3">
        <v>4628.72</v>
      </c>
      <c r="N288" s="4">
        <v>1.84</v>
      </c>
      <c r="O288" s="4">
        <f t="shared" si="14"/>
        <v>2.9514503505282425E-2</v>
      </c>
    </row>
    <row r="289" spans="2:15" x14ac:dyDescent="0.3">
      <c r="B289" s="3">
        <v>4888.3500000000004</v>
      </c>
      <c r="C289" s="3">
        <v>3153.64</v>
      </c>
      <c r="D289" s="13">
        <f t="shared" si="12"/>
        <v>6.5012103659528184E-2</v>
      </c>
      <c r="G289" s="3">
        <v>4888.3500000000004</v>
      </c>
      <c r="H289" s="19">
        <v>34</v>
      </c>
      <c r="I289" s="4">
        <f t="shared" si="13"/>
        <v>3.8053357728979893E-2</v>
      </c>
      <c r="M289" s="3">
        <v>4888.3500000000004</v>
      </c>
      <c r="N289" s="4">
        <v>4.45</v>
      </c>
      <c r="O289" s="4">
        <f t="shared" si="14"/>
        <v>2.9514503505282425E-2</v>
      </c>
    </row>
    <row r="290" spans="2:15" x14ac:dyDescent="0.3">
      <c r="B290" s="3">
        <v>5931.01</v>
      </c>
      <c r="C290" s="3">
        <v>2752.71</v>
      </c>
      <c r="D290" s="13">
        <f t="shared" si="12"/>
        <v>6.5012103659528184E-2</v>
      </c>
      <c r="G290" s="3">
        <v>5931.01</v>
      </c>
      <c r="H290" s="19">
        <v>29</v>
      </c>
      <c r="I290" s="4">
        <f t="shared" si="13"/>
        <v>3.8053357728979893E-2</v>
      </c>
      <c r="M290" s="3">
        <v>5931.01</v>
      </c>
      <c r="N290" s="4">
        <v>2.61</v>
      </c>
      <c r="O290" s="4">
        <f t="shared" si="14"/>
        <v>2.9514503505282425E-2</v>
      </c>
    </row>
    <row r="291" spans="2:15" x14ac:dyDescent="0.3">
      <c r="B291" s="3">
        <v>5266.55</v>
      </c>
      <c r="C291" s="3">
        <v>3106.83</v>
      </c>
      <c r="D291" s="13">
        <f t="shared" si="12"/>
        <v>6.5012103659528184E-2</v>
      </c>
      <c r="G291" s="3">
        <v>5266.55</v>
      </c>
      <c r="H291" s="19">
        <v>43</v>
      </c>
      <c r="I291" s="4">
        <f t="shared" si="13"/>
        <v>3.8053357728979893E-2</v>
      </c>
      <c r="M291" s="3">
        <v>5266.55</v>
      </c>
      <c r="N291" s="4">
        <v>2.17</v>
      </c>
      <c r="O291" s="4">
        <f t="shared" si="14"/>
        <v>2.9514503505282425E-2</v>
      </c>
    </row>
    <row r="292" spans="2:15" x14ac:dyDescent="0.3">
      <c r="B292" s="3">
        <v>2996.98</v>
      </c>
      <c r="C292" s="3">
        <v>2878.02</v>
      </c>
      <c r="D292" s="13">
        <f t="shared" si="12"/>
        <v>6.5012103659528184E-2</v>
      </c>
      <c r="G292" s="3">
        <v>2996.98</v>
      </c>
      <c r="H292" s="19">
        <v>35</v>
      </c>
      <c r="I292" s="4">
        <f t="shared" si="13"/>
        <v>3.8053357728979893E-2</v>
      </c>
      <c r="M292" s="3">
        <v>2996.98</v>
      </c>
      <c r="N292" s="4">
        <v>1.61</v>
      </c>
      <c r="O292" s="4">
        <f t="shared" si="14"/>
        <v>2.9514503505282425E-2</v>
      </c>
    </row>
    <row r="293" spans="2:15" x14ac:dyDescent="0.3">
      <c r="B293" s="3">
        <v>5570.3</v>
      </c>
      <c r="C293" s="3">
        <v>3566.49</v>
      </c>
      <c r="D293" s="13">
        <f t="shared" si="12"/>
        <v>6.5012103659528184E-2</v>
      </c>
      <c r="G293" s="3">
        <v>5570.3</v>
      </c>
      <c r="H293" s="19">
        <v>14</v>
      </c>
      <c r="I293" s="4">
        <f t="shared" si="13"/>
        <v>3.8053357728979893E-2</v>
      </c>
      <c r="M293" s="3">
        <v>5570.3</v>
      </c>
      <c r="N293" s="4">
        <v>2.06</v>
      </c>
      <c r="O293" s="4">
        <f t="shared" si="14"/>
        <v>2.9514503505282425E-2</v>
      </c>
    </row>
    <row r="294" spans="2:15" x14ac:dyDescent="0.3">
      <c r="B294" s="3">
        <v>5915.88</v>
      </c>
      <c r="C294" s="3">
        <v>3765.36</v>
      </c>
      <c r="D294" s="13">
        <f t="shared" si="12"/>
        <v>6.5012103659528184E-2</v>
      </c>
      <c r="G294" s="3">
        <v>5915.88</v>
      </c>
      <c r="H294" s="19">
        <v>70</v>
      </c>
      <c r="I294" s="4">
        <f t="shared" si="13"/>
        <v>3.8053357728979893E-2</v>
      </c>
      <c r="M294" s="3">
        <v>5915.88</v>
      </c>
      <c r="N294" s="4">
        <v>1.0900000000000001</v>
      </c>
      <c r="O294" s="4">
        <f t="shared" si="14"/>
        <v>2.9514503505282425E-2</v>
      </c>
    </row>
    <row r="295" spans="2:15" x14ac:dyDescent="0.3">
      <c r="B295" s="3">
        <v>5839.69</v>
      </c>
      <c r="C295" s="3">
        <v>2371.21</v>
      </c>
      <c r="D295" s="13">
        <f t="shared" si="12"/>
        <v>6.5012103659528184E-2</v>
      </c>
      <c r="G295" s="3">
        <v>5839.69</v>
      </c>
      <c r="H295" s="19">
        <v>18</v>
      </c>
      <c r="I295" s="4">
        <f t="shared" si="13"/>
        <v>3.8053357728979893E-2</v>
      </c>
      <c r="M295" s="3">
        <v>5839.69</v>
      </c>
      <c r="N295" s="4">
        <v>3.33</v>
      </c>
      <c r="O295" s="4">
        <f t="shared" si="14"/>
        <v>2.9514503505282425E-2</v>
      </c>
    </row>
    <row r="296" spans="2:15" x14ac:dyDescent="0.3">
      <c r="B296" s="3">
        <v>6621.17</v>
      </c>
      <c r="C296" s="3">
        <v>1935.01</v>
      </c>
      <c r="D296" s="13">
        <f t="shared" si="12"/>
        <v>6.5012103659528184E-2</v>
      </c>
      <c r="G296" s="3">
        <v>6621.17</v>
      </c>
      <c r="H296" s="19">
        <v>59</v>
      </c>
      <c r="I296" s="4">
        <f t="shared" si="13"/>
        <v>3.8053357728979893E-2</v>
      </c>
      <c r="M296" s="3">
        <v>6621.17</v>
      </c>
      <c r="N296" s="4">
        <v>4.37</v>
      </c>
      <c r="O296" s="4">
        <f t="shared" si="14"/>
        <v>2.9514503505282425E-2</v>
      </c>
    </row>
    <row r="297" spans="2:15" x14ac:dyDescent="0.3">
      <c r="B297" s="3">
        <v>6250.88</v>
      </c>
      <c r="C297" s="3">
        <v>1531.04</v>
      </c>
      <c r="D297" s="13">
        <f t="shared" si="12"/>
        <v>6.5012103659528184E-2</v>
      </c>
      <c r="G297" s="3">
        <v>6250.88</v>
      </c>
      <c r="H297" s="19">
        <v>15</v>
      </c>
      <c r="I297" s="4">
        <f t="shared" si="13"/>
        <v>3.8053357728979893E-2</v>
      </c>
      <c r="M297" s="3">
        <v>6250.88</v>
      </c>
      <c r="N297" s="4">
        <v>3.2</v>
      </c>
      <c r="O297" s="4">
        <f t="shared" si="14"/>
        <v>2.9514503505282425E-2</v>
      </c>
    </row>
    <row r="298" spans="2:15" x14ac:dyDescent="0.3">
      <c r="B298" s="3">
        <v>5688.77</v>
      </c>
      <c r="C298" s="3">
        <v>3406.39</v>
      </c>
      <c r="D298" s="13">
        <f t="shared" si="12"/>
        <v>6.5012103659528184E-2</v>
      </c>
      <c r="G298" s="3">
        <v>5688.77</v>
      </c>
      <c r="H298" s="19">
        <v>92</v>
      </c>
      <c r="I298" s="4">
        <f t="shared" si="13"/>
        <v>3.8053357728979893E-2</v>
      </c>
      <c r="M298" s="3">
        <v>5688.77</v>
      </c>
      <c r="N298" s="4">
        <v>1.88</v>
      </c>
      <c r="O298" s="4">
        <f t="shared" si="14"/>
        <v>2.9514503505282425E-2</v>
      </c>
    </row>
    <row r="299" spans="2:15" x14ac:dyDescent="0.3">
      <c r="B299" s="3">
        <v>4894.75</v>
      </c>
      <c r="C299" s="3">
        <v>2117.31</v>
      </c>
      <c r="D299" s="13">
        <f t="shared" si="12"/>
        <v>6.5012103659528184E-2</v>
      </c>
      <c r="G299" s="3">
        <v>4894.75</v>
      </c>
      <c r="H299" s="19">
        <v>69</v>
      </c>
      <c r="I299" s="4">
        <f t="shared" si="13"/>
        <v>3.8053357728979893E-2</v>
      </c>
      <c r="M299" s="3">
        <v>4894.75</v>
      </c>
      <c r="N299" s="4">
        <v>1.1299999999999999</v>
      </c>
      <c r="O299" s="4">
        <f t="shared" si="14"/>
        <v>2.9514503505282425E-2</v>
      </c>
    </row>
    <row r="300" spans="2:15" x14ac:dyDescent="0.3">
      <c r="B300" s="3">
        <v>2508.56</v>
      </c>
      <c r="C300" s="3">
        <v>1277.69</v>
      </c>
      <c r="D300" s="13">
        <f t="shared" si="12"/>
        <v>6.5012103659528184E-2</v>
      </c>
      <c r="G300" s="3">
        <v>2508.56</v>
      </c>
      <c r="H300" s="19">
        <v>53</v>
      </c>
      <c r="I300" s="4">
        <f t="shared" si="13"/>
        <v>3.8053357728979893E-2</v>
      </c>
      <c r="M300" s="3">
        <v>2508.56</v>
      </c>
      <c r="N300" s="4">
        <v>1.86</v>
      </c>
      <c r="O300" s="4">
        <f t="shared" si="14"/>
        <v>2.9514503505282425E-2</v>
      </c>
    </row>
    <row r="301" spans="2:15" x14ac:dyDescent="0.3">
      <c r="B301" s="3">
        <v>5644.43</v>
      </c>
      <c r="C301" s="3">
        <v>3310.86</v>
      </c>
      <c r="D301" s="13">
        <f t="shared" si="12"/>
        <v>6.5012103659528184E-2</v>
      </c>
      <c r="G301" s="3">
        <v>5644.43</v>
      </c>
      <c r="H301" s="19">
        <v>20</v>
      </c>
      <c r="I301" s="4">
        <f t="shared" si="13"/>
        <v>3.8053357728979893E-2</v>
      </c>
      <c r="M301" s="3">
        <v>5644.43</v>
      </c>
      <c r="N301" s="4">
        <v>2.66</v>
      </c>
      <c r="O301" s="4">
        <f t="shared" si="14"/>
        <v>2.9514503505282425E-2</v>
      </c>
    </row>
    <row r="302" spans="2:15" x14ac:dyDescent="0.3">
      <c r="B302" s="3">
        <v>5311.53</v>
      </c>
      <c r="C302" s="3">
        <v>4994.3999999999996</v>
      </c>
      <c r="D302" s="13">
        <f t="shared" si="12"/>
        <v>6.5012103659528184E-2</v>
      </c>
      <c r="G302" s="3">
        <v>5311.53</v>
      </c>
      <c r="H302" s="19">
        <v>75</v>
      </c>
      <c r="I302" s="4">
        <f t="shared" si="13"/>
        <v>3.8053357728979893E-2</v>
      </c>
      <c r="M302" s="3">
        <v>5311.53</v>
      </c>
      <c r="N302" s="4">
        <v>4.04</v>
      </c>
      <c r="O302" s="4">
        <f t="shared" si="14"/>
        <v>2.9514503505282425E-2</v>
      </c>
    </row>
    <row r="303" spans="2:15" x14ac:dyDescent="0.3">
      <c r="B303" s="3">
        <v>5407.37</v>
      </c>
      <c r="C303" s="3">
        <v>2995.14</v>
      </c>
      <c r="D303" s="13">
        <f t="shared" si="12"/>
        <v>6.5012103659528184E-2</v>
      </c>
      <c r="G303" s="3">
        <v>5407.37</v>
      </c>
      <c r="H303" s="19">
        <v>56</v>
      </c>
      <c r="I303" s="4">
        <f t="shared" si="13"/>
        <v>3.8053357728979893E-2</v>
      </c>
      <c r="M303" s="3">
        <v>5407.37</v>
      </c>
      <c r="N303" s="4">
        <v>1.75</v>
      </c>
      <c r="O303" s="4">
        <f t="shared" si="14"/>
        <v>2.9514503505282425E-2</v>
      </c>
    </row>
    <row r="304" spans="2:15" x14ac:dyDescent="0.3">
      <c r="B304" s="3">
        <v>3084.88</v>
      </c>
      <c r="C304" s="3">
        <v>3670.79</v>
      </c>
      <c r="D304" s="13">
        <f t="shared" si="12"/>
        <v>6.5012103659528184E-2</v>
      </c>
      <c r="G304" s="3">
        <v>3084.88</v>
      </c>
      <c r="H304" s="19">
        <v>82</v>
      </c>
      <c r="I304" s="4">
        <f t="shared" si="13"/>
        <v>3.8053357728979893E-2</v>
      </c>
      <c r="M304" s="3">
        <v>3084.88</v>
      </c>
      <c r="N304" s="4">
        <v>3.88</v>
      </c>
      <c r="O304" s="4">
        <f t="shared" si="14"/>
        <v>2.9514503505282425E-2</v>
      </c>
    </row>
    <row r="305" spans="2:15" x14ac:dyDescent="0.3">
      <c r="B305" s="3">
        <v>3378.42</v>
      </c>
      <c r="C305" s="3">
        <v>3065.46</v>
      </c>
      <c r="D305" s="13">
        <f t="shared" si="12"/>
        <v>6.5012103659528184E-2</v>
      </c>
      <c r="G305" s="3">
        <v>3378.42</v>
      </c>
      <c r="H305" s="19">
        <v>94</v>
      </c>
      <c r="I305" s="4">
        <f t="shared" si="13"/>
        <v>3.8053357728979893E-2</v>
      </c>
      <c r="M305" s="3">
        <v>3378.42</v>
      </c>
      <c r="N305" s="4">
        <v>4.47</v>
      </c>
      <c r="O305" s="4">
        <f t="shared" si="14"/>
        <v>2.9514503505282425E-2</v>
      </c>
    </row>
    <row r="306" spans="2:15" x14ac:dyDescent="0.3">
      <c r="B306" s="3">
        <v>6579.73</v>
      </c>
      <c r="C306" s="3">
        <v>2920.89</v>
      </c>
      <c r="D306" s="13">
        <f t="shared" si="12"/>
        <v>6.5012103659528184E-2</v>
      </c>
      <c r="G306" s="3">
        <v>6579.73</v>
      </c>
      <c r="H306" s="19">
        <v>97</v>
      </c>
      <c r="I306" s="4">
        <f t="shared" si="13"/>
        <v>3.8053357728979893E-2</v>
      </c>
      <c r="M306" s="3">
        <v>6579.73</v>
      </c>
      <c r="N306" s="4">
        <v>2.82</v>
      </c>
      <c r="O306" s="4">
        <f t="shared" si="14"/>
        <v>2.9514503505282425E-2</v>
      </c>
    </row>
    <row r="307" spans="2:15" x14ac:dyDescent="0.3">
      <c r="B307" s="3">
        <v>4940.67</v>
      </c>
      <c r="C307" s="3">
        <v>3735.26</v>
      </c>
      <c r="D307" s="13">
        <f t="shared" si="12"/>
        <v>6.5012103659528184E-2</v>
      </c>
      <c r="G307" s="3">
        <v>4940.67</v>
      </c>
      <c r="H307" s="19">
        <v>95</v>
      </c>
      <c r="I307" s="4">
        <f t="shared" si="13"/>
        <v>3.8053357728979893E-2</v>
      </c>
      <c r="M307" s="3">
        <v>4940.67</v>
      </c>
      <c r="N307" s="4">
        <v>4.29</v>
      </c>
      <c r="O307" s="4">
        <f t="shared" si="14"/>
        <v>2.9514503505282425E-2</v>
      </c>
    </row>
    <row r="308" spans="2:15" x14ac:dyDescent="0.3">
      <c r="B308" s="3">
        <v>6022.25</v>
      </c>
      <c r="C308" s="3">
        <v>2767.78</v>
      </c>
      <c r="D308" s="13">
        <f t="shared" si="12"/>
        <v>6.5012103659528184E-2</v>
      </c>
      <c r="G308" s="3">
        <v>6022.25</v>
      </c>
      <c r="H308" s="19">
        <v>12</v>
      </c>
      <c r="I308" s="4">
        <f t="shared" si="13"/>
        <v>3.8053357728979893E-2</v>
      </c>
      <c r="M308" s="3">
        <v>6022.25</v>
      </c>
      <c r="N308" s="4">
        <v>3.22</v>
      </c>
      <c r="O308" s="4">
        <f t="shared" si="14"/>
        <v>2.9514503505282425E-2</v>
      </c>
    </row>
    <row r="309" spans="2:15" x14ac:dyDescent="0.3">
      <c r="B309" s="3">
        <v>5042.4799999999996</v>
      </c>
      <c r="C309" s="3">
        <v>3213.91</v>
      </c>
      <c r="D309" s="13">
        <f t="shared" si="12"/>
        <v>6.5012103659528184E-2</v>
      </c>
      <c r="G309" s="3">
        <v>5042.4799999999996</v>
      </c>
      <c r="H309" s="19">
        <v>85</v>
      </c>
      <c r="I309" s="4">
        <f t="shared" si="13"/>
        <v>3.8053357728979893E-2</v>
      </c>
      <c r="M309" s="3">
        <v>5042.4799999999996</v>
      </c>
      <c r="N309" s="4">
        <v>3.55</v>
      </c>
      <c r="O309" s="4">
        <f t="shared" si="14"/>
        <v>2.9514503505282425E-2</v>
      </c>
    </row>
    <row r="310" spans="2:15" x14ac:dyDescent="0.3">
      <c r="B310" s="3">
        <v>5044.63</v>
      </c>
      <c r="C310" s="3">
        <v>3257.36</v>
      </c>
      <c r="D310" s="13">
        <f t="shared" si="12"/>
        <v>6.5012103659528184E-2</v>
      </c>
      <c r="G310" s="3">
        <v>5044.63</v>
      </c>
      <c r="H310" s="19">
        <v>39</v>
      </c>
      <c r="I310" s="4">
        <f t="shared" si="13"/>
        <v>3.8053357728979893E-2</v>
      </c>
      <c r="M310" s="3">
        <v>5044.63</v>
      </c>
      <c r="N310" s="4">
        <v>3.11</v>
      </c>
      <c r="O310" s="4">
        <f t="shared" si="14"/>
        <v>2.9514503505282425E-2</v>
      </c>
    </row>
    <row r="311" spans="2:15" x14ac:dyDescent="0.3">
      <c r="B311" s="3">
        <v>6407.43</v>
      </c>
      <c r="C311" s="3">
        <v>2465.5300000000002</v>
      </c>
      <c r="D311" s="13">
        <f t="shared" si="12"/>
        <v>6.5012103659528184E-2</v>
      </c>
      <c r="G311" s="3">
        <v>6407.43</v>
      </c>
      <c r="H311" s="19">
        <v>99</v>
      </c>
      <c r="I311" s="4">
        <f t="shared" si="13"/>
        <v>3.8053357728979893E-2</v>
      </c>
      <c r="M311" s="3">
        <v>6407.43</v>
      </c>
      <c r="N311" s="4">
        <v>2.85</v>
      </c>
      <c r="O311" s="4">
        <f t="shared" si="14"/>
        <v>2.9514503505282425E-2</v>
      </c>
    </row>
    <row r="312" spans="2:15" x14ac:dyDescent="0.3">
      <c r="B312" s="3">
        <v>4225.93</v>
      </c>
      <c r="C312" s="3">
        <v>3793.63</v>
      </c>
      <c r="D312" s="13">
        <f t="shared" si="12"/>
        <v>6.5012103659528184E-2</v>
      </c>
      <c r="G312" s="3">
        <v>4225.93</v>
      </c>
      <c r="H312" s="19">
        <v>30</v>
      </c>
      <c r="I312" s="4">
        <f t="shared" si="13"/>
        <v>3.8053357728979893E-2</v>
      </c>
      <c r="M312" s="3">
        <v>4225.93</v>
      </c>
      <c r="N312" s="4">
        <v>1.94</v>
      </c>
      <c r="O312" s="4">
        <f t="shared" si="14"/>
        <v>2.9514503505282425E-2</v>
      </c>
    </row>
    <row r="313" spans="2:15" x14ac:dyDescent="0.3">
      <c r="B313" s="3">
        <v>5144.18</v>
      </c>
      <c r="C313" s="3">
        <v>2860.03</v>
      </c>
      <c r="D313" s="13">
        <f t="shared" si="12"/>
        <v>6.5012103659528184E-2</v>
      </c>
      <c r="G313" s="3">
        <v>5144.18</v>
      </c>
      <c r="H313" s="19">
        <v>37</v>
      </c>
      <c r="I313" s="4">
        <f t="shared" si="13"/>
        <v>3.8053357728979893E-2</v>
      </c>
      <c r="M313" s="3">
        <v>5144.18</v>
      </c>
      <c r="N313" s="4">
        <v>2.21</v>
      </c>
      <c r="O313" s="4">
        <f t="shared" si="14"/>
        <v>2.9514503505282425E-2</v>
      </c>
    </row>
    <row r="314" spans="2:15" x14ac:dyDescent="0.3">
      <c r="B314" s="3">
        <v>4306.59</v>
      </c>
      <c r="C314" s="3">
        <v>2395.4</v>
      </c>
      <c r="D314" s="13">
        <f t="shared" si="12"/>
        <v>6.5012103659528184E-2</v>
      </c>
      <c r="G314" s="3">
        <v>4306.59</v>
      </c>
      <c r="H314" s="19">
        <v>99</v>
      </c>
      <c r="I314" s="4">
        <f t="shared" si="13"/>
        <v>3.8053357728979893E-2</v>
      </c>
      <c r="M314" s="3">
        <v>4306.59</v>
      </c>
      <c r="N314" s="4">
        <v>2.16</v>
      </c>
      <c r="O314" s="4">
        <f t="shared" si="14"/>
        <v>2.9514503505282425E-2</v>
      </c>
    </row>
    <row r="315" spans="2:15" x14ac:dyDescent="0.3">
      <c r="B315" s="3">
        <v>4348.26</v>
      </c>
      <c r="C315" s="3">
        <v>3429.21</v>
      </c>
      <c r="D315" s="13">
        <f t="shared" si="12"/>
        <v>6.5012103659528184E-2</v>
      </c>
      <c r="G315" s="3">
        <v>4348.26</v>
      </c>
      <c r="H315" s="19">
        <v>71</v>
      </c>
      <c r="I315" s="4">
        <f t="shared" si="13"/>
        <v>3.8053357728979893E-2</v>
      </c>
      <c r="M315" s="3">
        <v>4348.26</v>
      </c>
      <c r="N315" s="4">
        <v>3.25</v>
      </c>
      <c r="O315" s="4">
        <f t="shared" si="14"/>
        <v>2.9514503505282425E-2</v>
      </c>
    </row>
    <row r="316" spans="2:15" x14ac:dyDescent="0.3">
      <c r="B316" s="3">
        <v>4536.24</v>
      </c>
      <c r="C316" s="3">
        <v>2281.23</v>
      </c>
      <c r="D316" s="13">
        <f t="shared" si="12"/>
        <v>6.5012103659528184E-2</v>
      </c>
      <c r="G316" s="3">
        <v>4536.24</v>
      </c>
      <c r="H316" s="19">
        <v>42</v>
      </c>
      <c r="I316" s="4">
        <f t="shared" si="13"/>
        <v>3.8053357728979893E-2</v>
      </c>
      <c r="M316" s="3">
        <v>4536.24</v>
      </c>
      <c r="N316" s="4">
        <v>1.48</v>
      </c>
      <c r="O316" s="4">
        <f t="shared" si="14"/>
        <v>2.9514503505282425E-2</v>
      </c>
    </row>
    <row r="317" spans="2:15" x14ac:dyDescent="0.3">
      <c r="B317" s="3">
        <v>5333.2</v>
      </c>
      <c r="C317" s="3">
        <v>3022.54</v>
      </c>
      <c r="D317" s="13">
        <f t="shared" si="12"/>
        <v>6.5012103659528184E-2</v>
      </c>
      <c r="G317" s="3">
        <v>5333.2</v>
      </c>
      <c r="H317" s="19">
        <v>94</v>
      </c>
      <c r="I317" s="4">
        <f t="shared" si="13"/>
        <v>3.8053357728979893E-2</v>
      </c>
      <c r="M317" s="3">
        <v>5333.2</v>
      </c>
      <c r="N317" s="4">
        <v>4.67</v>
      </c>
      <c r="O317" s="4">
        <f t="shared" si="14"/>
        <v>2.9514503505282425E-2</v>
      </c>
    </row>
    <row r="318" spans="2:15" x14ac:dyDescent="0.3">
      <c r="B318" s="3">
        <v>4281.88</v>
      </c>
      <c r="C318" s="3">
        <v>2992.7</v>
      </c>
      <c r="D318" s="13">
        <f t="shared" si="12"/>
        <v>6.5012103659528184E-2</v>
      </c>
      <c r="G318" s="3">
        <v>4281.88</v>
      </c>
      <c r="H318" s="19">
        <v>44</v>
      </c>
      <c r="I318" s="4">
        <f t="shared" si="13"/>
        <v>3.8053357728979893E-2</v>
      </c>
      <c r="M318" s="3">
        <v>4281.88</v>
      </c>
      <c r="N318" s="4">
        <v>3.88</v>
      </c>
      <c r="O318" s="4">
        <f t="shared" si="14"/>
        <v>2.9514503505282425E-2</v>
      </c>
    </row>
    <row r="319" spans="2:15" x14ac:dyDescent="0.3">
      <c r="B319" s="3">
        <v>6883.63</v>
      </c>
      <c r="C319" s="3">
        <v>3868.72</v>
      </c>
      <c r="D319" s="13">
        <f t="shared" si="12"/>
        <v>6.5012103659528184E-2</v>
      </c>
      <c r="G319" s="3">
        <v>6883.63</v>
      </c>
      <c r="H319" s="19">
        <v>61</v>
      </c>
      <c r="I319" s="4">
        <f t="shared" si="13"/>
        <v>3.8053357728979893E-2</v>
      </c>
      <c r="M319" s="3">
        <v>6883.63</v>
      </c>
      <c r="N319" s="4">
        <v>2.61</v>
      </c>
      <c r="O319" s="4">
        <f t="shared" si="14"/>
        <v>2.9514503505282425E-2</v>
      </c>
    </row>
    <row r="320" spans="2:15" x14ac:dyDescent="0.3">
      <c r="B320" s="3">
        <v>3658.09</v>
      </c>
      <c r="C320" s="3">
        <v>3379.76</v>
      </c>
      <c r="D320" s="13">
        <f t="shared" si="12"/>
        <v>6.5012103659528184E-2</v>
      </c>
      <c r="G320" s="3">
        <v>3658.09</v>
      </c>
      <c r="H320" s="19">
        <v>43</v>
      </c>
      <c r="I320" s="4">
        <f t="shared" si="13"/>
        <v>3.8053357728979893E-2</v>
      </c>
      <c r="M320" s="3">
        <v>3658.09</v>
      </c>
      <c r="N320" s="4">
        <v>1.63</v>
      </c>
      <c r="O320" s="4">
        <f t="shared" si="14"/>
        <v>2.9514503505282425E-2</v>
      </c>
    </row>
    <row r="321" spans="2:15" x14ac:dyDescent="0.3">
      <c r="B321" s="3">
        <v>4719.6899999999996</v>
      </c>
      <c r="C321" s="3">
        <v>2979.98</v>
      </c>
      <c r="D321" s="13">
        <f t="shared" si="12"/>
        <v>6.5012103659528184E-2</v>
      </c>
      <c r="G321" s="3">
        <v>4719.6899999999996</v>
      </c>
      <c r="H321" s="19">
        <v>50</v>
      </c>
      <c r="I321" s="4">
        <f t="shared" si="13"/>
        <v>3.8053357728979893E-2</v>
      </c>
      <c r="M321" s="3">
        <v>4719.6899999999996</v>
      </c>
      <c r="N321" s="4">
        <v>4.53</v>
      </c>
      <c r="O321" s="4">
        <f t="shared" si="14"/>
        <v>2.9514503505282425E-2</v>
      </c>
    </row>
    <row r="322" spans="2:15" x14ac:dyDescent="0.3">
      <c r="B322" s="3">
        <v>4340.3999999999996</v>
      </c>
      <c r="C322" s="3">
        <v>3654.21</v>
      </c>
      <c r="D322" s="13">
        <f t="shared" si="12"/>
        <v>6.5012103659528184E-2</v>
      </c>
      <c r="G322" s="3">
        <v>4340.3999999999996</v>
      </c>
      <c r="H322" s="19">
        <v>60</v>
      </c>
      <c r="I322" s="4">
        <f t="shared" si="13"/>
        <v>3.8053357728979893E-2</v>
      </c>
      <c r="M322" s="3">
        <v>4340.3999999999996</v>
      </c>
      <c r="N322" s="4">
        <v>4.3</v>
      </c>
      <c r="O322" s="4">
        <f t="shared" si="14"/>
        <v>2.9514503505282425E-2</v>
      </c>
    </row>
    <row r="323" spans="2:15" x14ac:dyDescent="0.3">
      <c r="B323" s="3">
        <v>7170.47</v>
      </c>
      <c r="C323" s="3">
        <v>4112.17</v>
      </c>
      <c r="D323" s="13">
        <f t="shared" si="12"/>
        <v>6.5012103659528184E-2</v>
      </c>
      <c r="G323" s="3">
        <v>7170.47</v>
      </c>
      <c r="H323" s="19">
        <v>56</v>
      </c>
      <c r="I323" s="4">
        <f t="shared" si="13"/>
        <v>3.8053357728979893E-2</v>
      </c>
      <c r="M323" s="3">
        <v>7170.47</v>
      </c>
      <c r="N323" s="4">
        <v>3.89</v>
      </c>
      <c r="O323" s="4">
        <f t="shared" si="14"/>
        <v>2.9514503505282425E-2</v>
      </c>
    </row>
    <row r="324" spans="2:15" x14ac:dyDescent="0.3">
      <c r="B324" s="3">
        <v>5294.83</v>
      </c>
      <c r="C324" s="3">
        <v>3446.25</v>
      </c>
      <c r="D324" s="13">
        <f t="shared" si="12"/>
        <v>6.5012103659528184E-2</v>
      </c>
      <c r="G324" s="3">
        <v>5294.83</v>
      </c>
      <c r="H324" s="19">
        <v>91</v>
      </c>
      <c r="I324" s="4">
        <f t="shared" si="13"/>
        <v>3.8053357728979893E-2</v>
      </c>
      <c r="M324" s="3">
        <v>5294.83</v>
      </c>
      <c r="N324" s="4">
        <v>2.09</v>
      </c>
      <c r="O324" s="4">
        <f t="shared" si="14"/>
        <v>2.9514503505282425E-2</v>
      </c>
    </row>
    <row r="325" spans="2:15" x14ac:dyDescent="0.3">
      <c r="B325" s="3">
        <v>6547.77</v>
      </c>
      <c r="C325" s="3">
        <v>3008.28</v>
      </c>
      <c r="D325" s="13">
        <f t="shared" si="12"/>
        <v>6.5012103659528184E-2</v>
      </c>
      <c r="G325" s="3">
        <v>6547.77</v>
      </c>
      <c r="H325" s="19">
        <v>67</v>
      </c>
      <c r="I325" s="4">
        <f t="shared" si="13"/>
        <v>3.8053357728979893E-2</v>
      </c>
      <c r="M325" s="3">
        <v>6547.77</v>
      </c>
      <c r="N325" s="4">
        <v>2.61</v>
      </c>
      <c r="O325" s="4">
        <f t="shared" si="14"/>
        <v>2.9514503505282425E-2</v>
      </c>
    </row>
    <row r="326" spans="2:15" x14ac:dyDescent="0.3">
      <c r="B326" s="3">
        <v>2771.66</v>
      </c>
      <c r="C326" s="3">
        <v>1950.53</v>
      </c>
      <c r="D326" s="13">
        <f t="shared" ref="D326:D389" si="15">CORREL(B:B,C:C)</f>
        <v>6.5012103659528184E-2</v>
      </c>
      <c r="G326" s="3">
        <v>2771.66</v>
      </c>
      <c r="H326" s="19">
        <v>84</v>
      </c>
      <c r="I326" s="4">
        <f t="shared" ref="I326:I389" si="16">CORREL(G:G,H:H)</f>
        <v>3.8053357728979893E-2</v>
      </c>
      <c r="M326" s="3">
        <v>2771.66</v>
      </c>
      <c r="N326" s="4">
        <v>1.41</v>
      </c>
      <c r="O326" s="4">
        <f t="shared" ref="O326:O389" si="17">CORREL(M:M,N:N)</f>
        <v>2.9514503505282425E-2</v>
      </c>
    </row>
    <row r="327" spans="2:15" x14ac:dyDescent="0.3">
      <c r="B327" s="3">
        <v>5400.58</v>
      </c>
      <c r="C327" s="3">
        <v>2147.91</v>
      </c>
      <c r="D327" s="13">
        <f t="shared" si="15"/>
        <v>6.5012103659528184E-2</v>
      </c>
      <c r="G327" s="3">
        <v>5400.58</v>
      </c>
      <c r="H327" s="19">
        <v>66</v>
      </c>
      <c r="I327" s="4">
        <f t="shared" si="16"/>
        <v>3.8053357728979893E-2</v>
      </c>
      <c r="M327" s="3">
        <v>5400.58</v>
      </c>
      <c r="N327" s="4">
        <v>1.76</v>
      </c>
      <c r="O327" s="4">
        <f t="shared" si="17"/>
        <v>2.9514503505282425E-2</v>
      </c>
    </row>
    <row r="328" spans="2:15" x14ac:dyDescent="0.3">
      <c r="B328" s="3">
        <v>6334.45</v>
      </c>
      <c r="C328" s="3">
        <v>2755.82</v>
      </c>
      <c r="D328" s="13">
        <f t="shared" si="15"/>
        <v>6.5012103659528184E-2</v>
      </c>
      <c r="G328" s="3">
        <v>6334.45</v>
      </c>
      <c r="H328" s="19">
        <v>32</v>
      </c>
      <c r="I328" s="4">
        <f t="shared" si="16"/>
        <v>3.8053357728979893E-2</v>
      </c>
      <c r="M328" s="3">
        <v>6334.45</v>
      </c>
      <c r="N328" s="4">
        <v>4.13</v>
      </c>
      <c r="O328" s="4">
        <f t="shared" si="17"/>
        <v>2.9514503505282425E-2</v>
      </c>
    </row>
    <row r="329" spans="2:15" x14ac:dyDescent="0.3">
      <c r="B329" s="3">
        <v>5123.43</v>
      </c>
      <c r="C329" s="3">
        <v>2512.39</v>
      </c>
      <c r="D329" s="13">
        <f t="shared" si="15"/>
        <v>6.5012103659528184E-2</v>
      </c>
      <c r="G329" s="3">
        <v>5123.43</v>
      </c>
      <c r="H329" s="19">
        <v>57</v>
      </c>
      <c r="I329" s="4">
        <f t="shared" si="16"/>
        <v>3.8053357728979893E-2</v>
      </c>
      <c r="M329" s="3">
        <v>5123.43</v>
      </c>
      <c r="N329" s="4">
        <v>3.86</v>
      </c>
      <c r="O329" s="4">
        <f t="shared" si="17"/>
        <v>2.9514503505282425E-2</v>
      </c>
    </row>
    <row r="330" spans="2:15" x14ac:dyDescent="0.3">
      <c r="B330" s="3">
        <v>6598.22</v>
      </c>
      <c r="C330" s="3">
        <v>2850.42</v>
      </c>
      <c r="D330" s="13">
        <f t="shared" si="15"/>
        <v>6.5012103659528184E-2</v>
      </c>
      <c r="G330" s="3">
        <v>6598.22</v>
      </c>
      <c r="H330" s="19">
        <v>31</v>
      </c>
      <c r="I330" s="4">
        <f t="shared" si="16"/>
        <v>3.8053357728979893E-2</v>
      </c>
      <c r="M330" s="3">
        <v>6598.22</v>
      </c>
      <c r="N330" s="4">
        <v>3.37</v>
      </c>
      <c r="O330" s="4">
        <f t="shared" si="17"/>
        <v>2.9514503505282425E-2</v>
      </c>
    </row>
    <row r="331" spans="2:15" x14ac:dyDescent="0.3">
      <c r="B331" s="3">
        <v>4224.07</v>
      </c>
      <c r="C331" s="3">
        <v>3045.32</v>
      </c>
      <c r="D331" s="13">
        <f t="shared" si="15"/>
        <v>6.5012103659528184E-2</v>
      </c>
      <c r="G331" s="3">
        <v>4224.07</v>
      </c>
      <c r="H331" s="19">
        <v>26</v>
      </c>
      <c r="I331" s="4">
        <f t="shared" si="16"/>
        <v>3.8053357728979893E-2</v>
      </c>
      <c r="M331" s="3">
        <v>4224.07</v>
      </c>
      <c r="N331" s="4">
        <v>4.58</v>
      </c>
      <c r="O331" s="4">
        <f t="shared" si="17"/>
        <v>2.9514503505282425E-2</v>
      </c>
    </row>
    <row r="332" spans="2:15" x14ac:dyDescent="0.3">
      <c r="B332" s="3">
        <v>7114.02</v>
      </c>
      <c r="C332" s="3">
        <v>3423.75</v>
      </c>
      <c r="D332" s="13">
        <f t="shared" si="15"/>
        <v>6.5012103659528184E-2</v>
      </c>
      <c r="G332" s="3">
        <v>7114.02</v>
      </c>
      <c r="H332" s="19">
        <v>78</v>
      </c>
      <c r="I332" s="4">
        <f t="shared" si="16"/>
        <v>3.8053357728979893E-2</v>
      </c>
      <c r="M332" s="3">
        <v>7114.02</v>
      </c>
      <c r="N332" s="4">
        <v>3.33</v>
      </c>
      <c r="O332" s="4">
        <f t="shared" si="17"/>
        <v>2.9514503505282425E-2</v>
      </c>
    </row>
    <row r="333" spans="2:15" x14ac:dyDescent="0.3">
      <c r="B333" s="3">
        <v>8448.35</v>
      </c>
      <c r="C333" s="3">
        <v>2943.6</v>
      </c>
      <c r="D333" s="13">
        <f t="shared" si="15"/>
        <v>6.5012103659528184E-2</v>
      </c>
      <c r="G333" s="3">
        <v>8448.35</v>
      </c>
      <c r="H333" s="19">
        <v>20</v>
      </c>
      <c r="I333" s="4">
        <f t="shared" si="16"/>
        <v>3.8053357728979893E-2</v>
      </c>
      <c r="M333" s="3">
        <v>8448.35</v>
      </c>
      <c r="N333" s="4">
        <v>2.87</v>
      </c>
      <c r="O333" s="4">
        <f t="shared" si="17"/>
        <v>2.9514503505282425E-2</v>
      </c>
    </row>
    <row r="334" spans="2:15" x14ac:dyDescent="0.3">
      <c r="B334" s="3">
        <v>4455.74</v>
      </c>
      <c r="C334" s="3">
        <v>3389.2</v>
      </c>
      <c r="D334" s="13">
        <f t="shared" si="15"/>
        <v>6.5012103659528184E-2</v>
      </c>
      <c r="G334" s="3">
        <v>4455.74</v>
      </c>
      <c r="H334" s="19">
        <v>24</v>
      </c>
      <c r="I334" s="4">
        <f t="shared" si="16"/>
        <v>3.8053357728979893E-2</v>
      </c>
      <c r="M334" s="3">
        <v>4455.74</v>
      </c>
      <c r="N334" s="4">
        <v>2.36</v>
      </c>
      <c r="O334" s="4">
        <f t="shared" si="17"/>
        <v>2.9514503505282425E-2</v>
      </c>
    </row>
    <row r="335" spans="2:15" x14ac:dyDescent="0.3">
      <c r="B335" s="3">
        <v>4331.75</v>
      </c>
      <c r="C335" s="3">
        <v>3051.58</v>
      </c>
      <c r="D335" s="13">
        <f t="shared" si="15"/>
        <v>6.5012103659528184E-2</v>
      </c>
      <c r="G335" s="3">
        <v>4331.75</v>
      </c>
      <c r="H335" s="19">
        <v>44</v>
      </c>
      <c r="I335" s="4">
        <f t="shared" si="16"/>
        <v>3.8053357728979893E-2</v>
      </c>
      <c r="M335" s="3">
        <v>4331.75</v>
      </c>
      <c r="N335" s="4">
        <v>4.76</v>
      </c>
      <c r="O335" s="4">
        <f t="shared" si="17"/>
        <v>2.9514503505282425E-2</v>
      </c>
    </row>
    <row r="336" spans="2:15" x14ac:dyDescent="0.3">
      <c r="B336" s="3">
        <v>7180.08</v>
      </c>
      <c r="C336" s="3">
        <v>1419.63</v>
      </c>
      <c r="D336" s="13">
        <f t="shared" si="15"/>
        <v>6.5012103659528184E-2</v>
      </c>
      <c r="G336" s="3">
        <v>7180.08</v>
      </c>
      <c r="H336" s="19">
        <v>42</v>
      </c>
      <c r="I336" s="4">
        <f t="shared" si="16"/>
        <v>3.8053357728979893E-2</v>
      </c>
      <c r="M336" s="3">
        <v>7180.08</v>
      </c>
      <c r="N336" s="4">
        <v>1.33</v>
      </c>
      <c r="O336" s="4">
        <f t="shared" si="17"/>
        <v>2.9514503505282425E-2</v>
      </c>
    </row>
    <row r="337" spans="2:15" x14ac:dyDescent="0.3">
      <c r="B337" s="3">
        <v>7369.36</v>
      </c>
      <c r="C337" s="3">
        <v>2248.5300000000002</v>
      </c>
      <c r="D337" s="13">
        <f t="shared" si="15"/>
        <v>6.5012103659528184E-2</v>
      </c>
      <c r="G337" s="3">
        <v>7369.36</v>
      </c>
      <c r="H337" s="19">
        <v>93</v>
      </c>
      <c r="I337" s="4">
        <f t="shared" si="16"/>
        <v>3.8053357728979893E-2</v>
      </c>
      <c r="M337" s="3">
        <v>7369.36</v>
      </c>
      <c r="N337" s="4">
        <v>4.72</v>
      </c>
      <c r="O337" s="4">
        <f t="shared" si="17"/>
        <v>2.9514503505282425E-2</v>
      </c>
    </row>
    <row r="338" spans="2:15" x14ac:dyDescent="0.3">
      <c r="B338" s="3">
        <v>4215.71</v>
      </c>
      <c r="C338" s="3">
        <v>2884.73</v>
      </c>
      <c r="D338" s="13">
        <f t="shared" si="15"/>
        <v>6.5012103659528184E-2</v>
      </c>
      <c r="G338" s="3">
        <v>4215.71</v>
      </c>
      <c r="H338" s="19">
        <v>25</v>
      </c>
      <c r="I338" s="4">
        <f t="shared" si="16"/>
        <v>3.8053357728979893E-2</v>
      </c>
      <c r="M338" s="3">
        <v>4215.71</v>
      </c>
      <c r="N338" s="4">
        <v>4.3099999999999996</v>
      </c>
      <c r="O338" s="4">
        <f t="shared" si="17"/>
        <v>2.9514503505282425E-2</v>
      </c>
    </row>
    <row r="339" spans="2:15" x14ac:dyDescent="0.3">
      <c r="B339" s="3">
        <v>4369.72</v>
      </c>
      <c r="C339" s="3">
        <v>2032.24</v>
      </c>
      <c r="D339" s="13">
        <f t="shared" si="15"/>
        <v>6.5012103659528184E-2</v>
      </c>
      <c r="G339" s="3">
        <v>4369.72</v>
      </c>
      <c r="H339" s="19">
        <v>43</v>
      </c>
      <c r="I339" s="4">
        <f t="shared" si="16"/>
        <v>3.8053357728979893E-2</v>
      </c>
      <c r="M339" s="3">
        <v>4369.72</v>
      </c>
      <c r="N339" s="4">
        <v>1.52</v>
      </c>
      <c r="O339" s="4">
        <f t="shared" si="17"/>
        <v>2.9514503505282425E-2</v>
      </c>
    </row>
    <row r="340" spans="2:15" x14ac:dyDescent="0.3">
      <c r="B340" s="3">
        <v>4577.32</v>
      </c>
      <c r="C340" s="3">
        <v>3479.94</v>
      </c>
      <c r="D340" s="13">
        <f t="shared" si="15"/>
        <v>6.5012103659528184E-2</v>
      </c>
      <c r="G340" s="3">
        <v>4577.32</v>
      </c>
      <c r="H340" s="19">
        <v>75</v>
      </c>
      <c r="I340" s="4">
        <f t="shared" si="16"/>
        <v>3.8053357728979893E-2</v>
      </c>
      <c r="M340" s="3">
        <v>4577.32</v>
      </c>
      <c r="N340" s="4">
        <v>3.26</v>
      </c>
      <c r="O340" s="4">
        <f t="shared" si="17"/>
        <v>2.9514503505282425E-2</v>
      </c>
    </row>
    <row r="341" spans="2:15" x14ac:dyDescent="0.3">
      <c r="B341" s="3">
        <v>2983.32</v>
      </c>
      <c r="C341" s="3">
        <v>4224.6000000000004</v>
      </c>
      <c r="D341" s="13">
        <f t="shared" si="15"/>
        <v>6.5012103659528184E-2</v>
      </c>
      <c r="G341" s="3">
        <v>2983.32</v>
      </c>
      <c r="H341" s="19">
        <v>49</v>
      </c>
      <c r="I341" s="4">
        <f t="shared" si="16"/>
        <v>3.8053357728979893E-2</v>
      </c>
      <c r="M341" s="3">
        <v>2983.32</v>
      </c>
      <c r="N341" s="4">
        <v>4.47</v>
      </c>
      <c r="O341" s="4">
        <f t="shared" si="17"/>
        <v>2.9514503505282425E-2</v>
      </c>
    </row>
    <row r="342" spans="2:15" x14ac:dyDescent="0.3">
      <c r="B342" s="3">
        <v>3622.02</v>
      </c>
      <c r="C342" s="3">
        <v>3975.01</v>
      </c>
      <c r="D342" s="13">
        <f t="shared" si="15"/>
        <v>6.5012103659528184E-2</v>
      </c>
      <c r="G342" s="3">
        <v>3622.02</v>
      </c>
      <c r="H342" s="19">
        <v>37</v>
      </c>
      <c r="I342" s="4">
        <f t="shared" si="16"/>
        <v>3.8053357728979893E-2</v>
      </c>
      <c r="M342" s="3">
        <v>3622.02</v>
      </c>
      <c r="N342" s="4">
        <v>3.29</v>
      </c>
      <c r="O342" s="4">
        <f t="shared" si="17"/>
        <v>2.9514503505282425E-2</v>
      </c>
    </row>
    <row r="343" spans="2:15" x14ac:dyDescent="0.3">
      <c r="B343" s="3">
        <v>3493.79</v>
      </c>
      <c r="C343" s="3">
        <v>2829.25</v>
      </c>
      <c r="D343" s="13">
        <f t="shared" si="15"/>
        <v>6.5012103659528184E-2</v>
      </c>
      <c r="G343" s="3">
        <v>3493.79</v>
      </c>
      <c r="H343" s="19">
        <v>56</v>
      </c>
      <c r="I343" s="4">
        <f t="shared" si="16"/>
        <v>3.8053357728979893E-2</v>
      </c>
      <c r="M343" s="3">
        <v>3493.79</v>
      </c>
      <c r="N343" s="4">
        <v>4.63</v>
      </c>
      <c r="O343" s="4">
        <f t="shared" si="17"/>
        <v>2.9514503505282425E-2</v>
      </c>
    </row>
    <row r="344" spans="2:15" x14ac:dyDescent="0.3">
      <c r="B344" s="3">
        <v>3848.3</v>
      </c>
      <c r="C344" s="3">
        <v>4192.58</v>
      </c>
      <c r="D344" s="13">
        <f t="shared" si="15"/>
        <v>6.5012103659528184E-2</v>
      </c>
      <c r="G344" s="3">
        <v>3848.3</v>
      </c>
      <c r="H344" s="19">
        <v>48</v>
      </c>
      <c r="I344" s="4">
        <f t="shared" si="16"/>
        <v>3.8053357728979893E-2</v>
      </c>
      <c r="M344" s="3">
        <v>3848.3</v>
      </c>
      <c r="N344" s="4">
        <v>4.7699999999999996</v>
      </c>
      <c r="O344" s="4">
        <f t="shared" si="17"/>
        <v>2.9514503505282425E-2</v>
      </c>
    </row>
    <row r="345" spans="2:15" x14ac:dyDescent="0.3">
      <c r="B345" s="3">
        <v>4947.97</v>
      </c>
      <c r="C345" s="3">
        <v>3118.93</v>
      </c>
      <c r="D345" s="13">
        <f t="shared" si="15"/>
        <v>6.5012103659528184E-2</v>
      </c>
      <c r="G345" s="3">
        <v>4947.97</v>
      </c>
      <c r="H345" s="19">
        <v>79</v>
      </c>
      <c r="I345" s="4">
        <f t="shared" si="16"/>
        <v>3.8053357728979893E-2</v>
      </c>
      <c r="M345" s="3">
        <v>4947.97</v>
      </c>
      <c r="N345" s="4">
        <v>2.69</v>
      </c>
      <c r="O345" s="4">
        <f t="shared" si="17"/>
        <v>2.9514503505282425E-2</v>
      </c>
    </row>
    <row r="346" spans="2:15" x14ac:dyDescent="0.3">
      <c r="B346" s="3">
        <v>5351.32</v>
      </c>
      <c r="C346" s="3">
        <v>2730.33</v>
      </c>
      <c r="D346" s="13">
        <f t="shared" si="15"/>
        <v>6.5012103659528184E-2</v>
      </c>
      <c r="G346" s="3">
        <v>5351.32</v>
      </c>
      <c r="H346" s="19">
        <v>82</v>
      </c>
      <c r="I346" s="4">
        <f t="shared" si="16"/>
        <v>3.8053357728979893E-2</v>
      </c>
      <c r="M346" s="3">
        <v>5351.32</v>
      </c>
      <c r="N346" s="4">
        <v>2.5099999999999998</v>
      </c>
      <c r="O346" s="4">
        <f t="shared" si="17"/>
        <v>2.9514503505282425E-2</v>
      </c>
    </row>
    <row r="347" spans="2:15" x14ac:dyDescent="0.3">
      <c r="B347" s="3">
        <v>7325.75</v>
      </c>
      <c r="C347" s="3">
        <v>2509.2800000000002</v>
      </c>
      <c r="D347" s="13">
        <f t="shared" si="15"/>
        <v>6.5012103659528184E-2</v>
      </c>
      <c r="G347" s="3">
        <v>7325.75</v>
      </c>
      <c r="H347" s="19">
        <v>29</v>
      </c>
      <c r="I347" s="4">
        <f t="shared" si="16"/>
        <v>3.8053357728979893E-2</v>
      </c>
      <c r="M347" s="3">
        <v>7325.75</v>
      </c>
      <c r="N347" s="4">
        <v>4.75</v>
      </c>
      <c r="O347" s="4">
        <f t="shared" si="17"/>
        <v>2.9514503505282425E-2</v>
      </c>
    </row>
    <row r="348" spans="2:15" x14ac:dyDescent="0.3">
      <c r="B348" s="3">
        <v>3502.47</v>
      </c>
      <c r="C348" s="3">
        <v>2758.02</v>
      </c>
      <c r="D348" s="13">
        <f t="shared" si="15"/>
        <v>6.5012103659528184E-2</v>
      </c>
      <c r="G348" s="3">
        <v>3502.47</v>
      </c>
      <c r="H348" s="19">
        <v>10</v>
      </c>
      <c r="I348" s="4">
        <f t="shared" si="16"/>
        <v>3.8053357728979893E-2</v>
      </c>
      <c r="M348" s="3">
        <v>3502.47</v>
      </c>
      <c r="N348" s="4">
        <v>3.7</v>
      </c>
      <c r="O348" s="4">
        <f t="shared" si="17"/>
        <v>2.9514503505282425E-2</v>
      </c>
    </row>
    <row r="349" spans="2:15" x14ac:dyDescent="0.3">
      <c r="B349" s="3">
        <v>6476.48</v>
      </c>
      <c r="C349" s="3">
        <v>2689.46</v>
      </c>
      <c r="D349" s="13">
        <f t="shared" si="15"/>
        <v>6.5012103659528184E-2</v>
      </c>
      <c r="G349" s="3">
        <v>6476.48</v>
      </c>
      <c r="H349" s="19">
        <v>81</v>
      </c>
      <c r="I349" s="4">
        <f t="shared" si="16"/>
        <v>3.8053357728979893E-2</v>
      </c>
      <c r="M349" s="3">
        <v>6476.48</v>
      </c>
      <c r="N349" s="4">
        <v>1.46</v>
      </c>
      <c r="O349" s="4">
        <f t="shared" si="17"/>
        <v>2.9514503505282425E-2</v>
      </c>
    </row>
    <row r="350" spans="2:15" x14ac:dyDescent="0.3">
      <c r="B350" s="3">
        <v>4679.0200000000004</v>
      </c>
      <c r="C350" s="3">
        <v>3136.33</v>
      </c>
      <c r="D350" s="13">
        <f t="shared" si="15"/>
        <v>6.5012103659528184E-2</v>
      </c>
      <c r="G350" s="3">
        <v>4679.0200000000004</v>
      </c>
      <c r="H350" s="19">
        <v>96</v>
      </c>
      <c r="I350" s="4">
        <f t="shared" si="16"/>
        <v>3.8053357728979893E-2</v>
      </c>
      <c r="M350" s="3">
        <v>4679.0200000000004</v>
      </c>
      <c r="N350" s="4">
        <v>1.17</v>
      </c>
      <c r="O350" s="4">
        <f t="shared" si="17"/>
        <v>2.9514503505282425E-2</v>
      </c>
    </row>
    <row r="351" spans="2:15" x14ac:dyDescent="0.3">
      <c r="B351" s="3">
        <v>4925.8</v>
      </c>
      <c r="C351" s="3">
        <v>3128.46</v>
      </c>
      <c r="D351" s="13">
        <f t="shared" si="15"/>
        <v>6.5012103659528184E-2</v>
      </c>
      <c r="G351" s="3">
        <v>4925.8</v>
      </c>
      <c r="H351" s="19">
        <v>72</v>
      </c>
      <c r="I351" s="4">
        <f t="shared" si="16"/>
        <v>3.8053357728979893E-2</v>
      </c>
      <c r="M351" s="3">
        <v>4925.8</v>
      </c>
      <c r="N351" s="4">
        <v>3.26</v>
      </c>
      <c r="O351" s="4">
        <f t="shared" si="17"/>
        <v>2.9514503505282425E-2</v>
      </c>
    </row>
    <row r="352" spans="2:15" x14ac:dyDescent="0.3">
      <c r="B352" s="3">
        <v>6012.23</v>
      </c>
      <c r="C352" s="3">
        <v>3002.44</v>
      </c>
      <c r="D352" s="13">
        <f t="shared" si="15"/>
        <v>6.5012103659528184E-2</v>
      </c>
      <c r="G352" s="3">
        <v>6012.23</v>
      </c>
      <c r="H352" s="19">
        <v>76</v>
      </c>
      <c r="I352" s="4">
        <f t="shared" si="16"/>
        <v>3.8053357728979893E-2</v>
      </c>
      <c r="M352" s="3">
        <v>6012.23</v>
      </c>
      <c r="N352" s="4">
        <v>4.72</v>
      </c>
      <c r="O352" s="4">
        <f t="shared" si="17"/>
        <v>2.9514503505282425E-2</v>
      </c>
    </row>
    <row r="353" spans="2:15" x14ac:dyDescent="0.3">
      <c r="B353" s="3">
        <v>3315.92</v>
      </c>
      <c r="C353" s="3">
        <v>3349.55</v>
      </c>
      <c r="D353" s="13">
        <f t="shared" si="15"/>
        <v>6.5012103659528184E-2</v>
      </c>
      <c r="G353" s="3">
        <v>3315.92</v>
      </c>
      <c r="H353" s="19">
        <v>13</v>
      </c>
      <c r="I353" s="4">
        <f t="shared" si="16"/>
        <v>3.8053357728979893E-2</v>
      </c>
      <c r="M353" s="3">
        <v>3315.92</v>
      </c>
      <c r="N353" s="4">
        <v>4.38</v>
      </c>
      <c r="O353" s="4">
        <f t="shared" si="17"/>
        <v>2.9514503505282425E-2</v>
      </c>
    </row>
    <row r="354" spans="2:15" x14ac:dyDescent="0.3">
      <c r="B354" s="3">
        <v>5573.61</v>
      </c>
      <c r="C354" s="3">
        <v>3952.52</v>
      </c>
      <c r="D354" s="13">
        <f t="shared" si="15"/>
        <v>6.5012103659528184E-2</v>
      </c>
      <c r="G354" s="3">
        <v>5573.61</v>
      </c>
      <c r="H354" s="19">
        <v>67</v>
      </c>
      <c r="I354" s="4">
        <f t="shared" si="16"/>
        <v>3.8053357728979893E-2</v>
      </c>
      <c r="M354" s="3">
        <v>5573.61</v>
      </c>
      <c r="N354" s="4">
        <v>3.7</v>
      </c>
      <c r="O354" s="4">
        <f t="shared" si="17"/>
        <v>2.9514503505282425E-2</v>
      </c>
    </row>
    <row r="355" spans="2:15" x14ac:dyDescent="0.3">
      <c r="B355" s="3">
        <v>5249.68</v>
      </c>
      <c r="C355" s="3">
        <v>3759.64</v>
      </c>
      <c r="D355" s="13">
        <f t="shared" si="15"/>
        <v>6.5012103659528184E-2</v>
      </c>
      <c r="G355" s="3">
        <v>5249.68</v>
      </c>
      <c r="H355" s="19">
        <v>34</v>
      </c>
      <c r="I355" s="4">
        <f t="shared" si="16"/>
        <v>3.8053357728979893E-2</v>
      </c>
      <c r="M355" s="3">
        <v>5249.68</v>
      </c>
      <c r="N355" s="4">
        <v>1.56</v>
      </c>
      <c r="O355" s="4">
        <f t="shared" si="17"/>
        <v>2.9514503505282425E-2</v>
      </c>
    </row>
    <row r="356" spans="2:15" x14ac:dyDescent="0.3">
      <c r="B356" s="3">
        <v>5738.68</v>
      </c>
      <c r="C356" s="3">
        <v>1812.08</v>
      </c>
      <c r="D356" s="13">
        <f t="shared" si="15"/>
        <v>6.5012103659528184E-2</v>
      </c>
      <c r="G356" s="3">
        <v>5738.68</v>
      </c>
      <c r="H356" s="19">
        <v>56</v>
      </c>
      <c r="I356" s="4">
        <f t="shared" si="16"/>
        <v>3.8053357728979893E-2</v>
      </c>
      <c r="M356" s="3">
        <v>5738.68</v>
      </c>
      <c r="N356" s="4">
        <v>2.02</v>
      </c>
      <c r="O356" s="4">
        <f t="shared" si="17"/>
        <v>2.9514503505282425E-2</v>
      </c>
    </row>
    <row r="357" spans="2:15" x14ac:dyDescent="0.3">
      <c r="B357" s="3">
        <v>5433.75</v>
      </c>
      <c r="C357" s="3">
        <v>956.86</v>
      </c>
      <c r="D357" s="13">
        <f t="shared" si="15"/>
        <v>6.5012103659528184E-2</v>
      </c>
      <c r="G357" s="3">
        <v>5433.75</v>
      </c>
      <c r="H357" s="19">
        <v>47</v>
      </c>
      <c r="I357" s="4">
        <f t="shared" si="16"/>
        <v>3.8053357728979893E-2</v>
      </c>
      <c r="M357" s="3">
        <v>5433.75</v>
      </c>
      <c r="N357" s="4">
        <v>4.5</v>
      </c>
      <c r="O357" s="4">
        <f t="shared" si="17"/>
        <v>2.9514503505282425E-2</v>
      </c>
    </row>
    <row r="358" spans="2:15" x14ac:dyDescent="0.3">
      <c r="B358" s="3">
        <v>8682.9500000000007</v>
      </c>
      <c r="C358" s="3">
        <v>3747.46</v>
      </c>
      <c r="D358" s="13">
        <f t="shared" si="15"/>
        <v>6.5012103659528184E-2</v>
      </c>
      <c r="G358" s="3">
        <v>8682.9500000000007</v>
      </c>
      <c r="H358" s="19">
        <v>24</v>
      </c>
      <c r="I358" s="4">
        <f t="shared" si="16"/>
        <v>3.8053357728979893E-2</v>
      </c>
      <c r="M358" s="3">
        <v>8682.9500000000007</v>
      </c>
      <c r="N358" s="4">
        <v>1.73</v>
      </c>
      <c r="O358" s="4">
        <f t="shared" si="17"/>
        <v>2.9514503505282425E-2</v>
      </c>
    </row>
    <row r="359" spans="2:15" x14ac:dyDescent="0.3">
      <c r="B359" s="3">
        <v>4043.39</v>
      </c>
      <c r="C359" s="3">
        <v>1906.5</v>
      </c>
      <c r="D359" s="13">
        <f t="shared" si="15"/>
        <v>6.5012103659528184E-2</v>
      </c>
      <c r="G359" s="3">
        <v>4043.39</v>
      </c>
      <c r="H359" s="19">
        <v>72</v>
      </c>
      <c r="I359" s="4">
        <f t="shared" si="16"/>
        <v>3.8053357728979893E-2</v>
      </c>
      <c r="M359" s="3">
        <v>4043.39</v>
      </c>
      <c r="N359" s="4">
        <v>2.11</v>
      </c>
      <c r="O359" s="4">
        <f t="shared" si="17"/>
        <v>2.9514503505282425E-2</v>
      </c>
    </row>
    <row r="360" spans="2:15" x14ac:dyDescent="0.3">
      <c r="B360" s="3">
        <v>4203.5</v>
      </c>
      <c r="C360" s="3">
        <v>2820.19</v>
      </c>
      <c r="D360" s="13">
        <f t="shared" si="15"/>
        <v>6.5012103659528184E-2</v>
      </c>
      <c r="G360" s="3">
        <v>4203.5</v>
      </c>
      <c r="H360" s="19">
        <v>30</v>
      </c>
      <c r="I360" s="4">
        <f t="shared" si="16"/>
        <v>3.8053357728979893E-2</v>
      </c>
      <c r="M360" s="3">
        <v>4203.5</v>
      </c>
      <c r="N360" s="4">
        <v>1.52</v>
      </c>
      <c r="O360" s="4">
        <f t="shared" si="17"/>
        <v>2.9514503505282425E-2</v>
      </c>
    </row>
    <row r="361" spans="2:15" x14ac:dyDescent="0.3">
      <c r="B361" s="3">
        <v>4065.29</v>
      </c>
      <c r="C361" s="3">
        <v>2063.91</v>
      </c>
      <c r="D361" s="13">
        <f t="shared" si="15"/>
        <v>6.5012103659528184E-2</v>
      </c>
      <c r="G361" s="3">
        <v>4065.29</v>
      </c>
      <c r="H361" s="19">
        <v>66</v>
      </c>
      <c r="I361" s="4">
        <f t="shared" si="16"/>
        <v>3.8053357728979893E-2</v>
      </c>
      <c r="M361" s="3">
        <v>4065.29</v>
      </c>
      <c r="N361" s="4">
        <v>3.7</v>
      </c>
      <c r="O361" s="4">
        <f t="shared" si="17"/>
        <v>2.9514503505282425E-2</v>
      </c>
    </row>
    <row r="362" spans="2:15" x14ac:dyDescent="0.3">
      <c r="B362" s="3">
        <v>4166.78</v>
      </c>
      <c r="C362" s="3">
        <v>1558.42</v>
      </c>
      <c r="D362" s="13">
        <f t="shared" si="15"/>
        <v>6.5012103659528184E-2</v>
      </c>
      <c r="G362" s="3">
        <v>4166.78</v>
      </c>
      <c r="H362" s="19">
        <v>62</v>
      </c>
      <c r="I362" s="4">
        <f t="shared" si="16"/>
        <v>3.8053357728979893E-2</v>
      </c>
      <c r="M362" s="3">
        <v>4166.78</v>
      </c>
      <c r="N362" s="4">
        <v>4.78</v>
      </c>
      <c r="O362" s="4">
        <f t="shared" si="17"/>
        <v>2.9514503505282425E-2</v>
      </c>
    </row>
    <row r="363" spans="2:15" x14ac:dyDescent="0.3">
      <c r="B363" s="3">
        <v>4043.92</v>
      </c>
      <c r="C363" s="3">
        <v>3433.17</v>
      </c>
      <c r="D363" s="13">
        <f t="shared" si="15"/>
        <v>6.5012103659528184E-2</v>
      </c>
      <c r="G363" s="3">
        <v>4043.92</v>
      </c>
      <c r="H363" s="19">
        <v>55</v>
      </c>
      <c r="I363" s="4">
        <f t="shared" si="16"/>
        <v>3.8053357728979893E-2</v>
      </c>
      <c r="M363" s="3">
        <v>4043.92</v>
      </c>
      <c r="N363" s="4">
        <v>2.08</v>
      </c>
      <c r="O363" s="4">
        <f t="shared" si="17"/>
        <v>2.9514503505282425E-2</v>
      </c>
    </row>
    <row r="364" spans="2:15" x14ac:dyDescent="0.3">
      <c r="B364" s="3">
        <v>6783.52</v>
      </c>
      <c r="C364" s="3">
        <v>3607.32</v>
      </c>
      <c r="D364" s="13">
        <f t="shared" si="15"/>
        <v>6.5012103659528184E-2</v>
      </c>
      <c r="G364" s="3">
        <v>6783.52</v>
      </c>
      <c r="H364" s="19">
        <v>23</v>
      </c>
      <c r="I364" s="4">
        <f t="shared" si="16"/>
        <v>3.8053357728979893E-2</v>
      </c>
      <c r="M364" s="3">
        <v>6783.52</v>
      </c>
      <c r="N364" s="4">
        <v>2.9</v>
      </c>
      <c r="O364" s="4">
        <f t="shared" si="17"/>
        <v>2.9514503505282425E-2</v>
      </c>
    </row>
    <row r="365" spans="2:15" x14ac:dyDescent="0.3">
      <c r="B365" s="3">
        <v>7130.76</v>
      </c>
      <c r="C365" s="3">
        <v>2538.79</v>
      </c>
      <c r="D365" s="13">
        <f t="shared" si="15"/>
        <v>6.5012103659528184E-2</v>
      </c>
      <c r="G365" s="3">
        <v>7130.76</v>
      </c>
      <c r="H365" s="19">
        <v>85</v>
      </c>
      <c r="I365" s="4">
        <f t="shared" si="16"/>
        <v>3.8053357728979893E-2</v>
      </c>
      <c r="M365" s="3">
        <v>7130.76</v>
      </c>
      <c r="N365" s="4">
        <v>3.54</v>
      </c>
      <c r="O365" s="4">
        <f t="shared" si="17"/>
        <v>2.9514503505282425E-2</v>
      </c>
    </row>
    <row r="366" spans="2:15" x14ac:dyDescent="0.3">
      <c r="B366" s="3">
        <v>4143.88</v>
      </c>
      <c r="C366" s="3">
        <v>927.17</v>
      </c>
      <c r="D366" s="13">
        <f t="shared" si="15"/>
        <v>6.5012103659528184E-2</v>
      </c>
      <c r="G366" s="3">
        <v>4143.88</v>
      </c>
      <c r="H366" s="19">
        <v>26</v>
      </c>
      <c r="I366" s="4">
        <f t="shared" si="16"/>
        <v>3.8053357728979893E-2</v>
      </c>
      <c r="M366" s="3">
        <v>4143.88</v>
      </c>
      <c r="N366" s="4">
        <v>5</v>
      </c>
      <c r="O366" s="4">
        <f t="shared" si="17"/>
        <v>2.9514503505282425E-2</v>
      </c>
    </row>
    <row r="367" spans="2:15" x14ac:dyDescent="0.3">
      <c r="B367" s="3">
        <v>3751.47</v>
      </c>
      <c r="C367" s="3">
        <v>2563</v>
      </c>
      <c r="D367" s="13">
        <f t="shared" si="15"/>
        <v>6.5012103659528184E-2</v>
      </c>
      <c r="G367" s="3">
        <v>3751.47</v>
      </c>
      <c r="H367" s="19">
        <v>48</v>
      </c>
      <c r="I367" s="4">
        <f t="shared" si="16"/>
        <v>3.8053357728979893E-2</v>
      </c>
      <c r="M367" s="3">
        <v>3751.47</v>
      </c>
      <c r="N367" s="4">
        <v>1.42</v>
      </c>
      <c r="O367" s="4">
        <f t="shared" si="17"/>
        <v>2.9514503505282425E-2</v>
      </c>
    </row>
    <row r="368" spans="2:15" x14ac:dyDescent="0.3">
      <c r="B368" s="3">
        <v>5707.12</v>
      </c>
      <c r="C368" s="3">
        <v>3313.44</v>
      </c>
      <c r="D368" s="13">
        <f t="shared" si="15"/>
        <v>6.5012103659528184E-2</v>
      </c>
      <c r="G368" s="3">
        <v>5707.12</v>
      </c>
      <c r="H368" s="19">
        <v>18</v>
      </c>
      <c r="I368" s="4">
        <f t="shared" si="16"/>
        <v>3.8053357728979893E-2</v>
      </c>
      <c r="M368" s="3">
        <v>5707.12</v>
      </c>
      <c r="N368" s="4">
        <v>2.99</v>
      </c>
      <c r="O368" s="4">
        <f t="shared" si="17"/>
        <v>2.9514503505282425E-2</v>
      </c>
    </row>
    <row r="369" spans="2:15" x14ac:dyDescent="0.3">
      <c r="B369" s="3">
        <v>4171.67</v>
      </c>
      <c r="C369" s="3">
        <v>1816.87</v>
      </c>
      <c r="D369" s="13">
        <f t="shared" si="15"/>
        <v>6.5012103659528184E-2</v>
      </c>
      <c r="G369" s="3">
        <v>4171.67</v>
      </c>
      <c r="H369" s="19">
        <v>86</v>
      </c>
      <c r="I369" s="4">
        <f t="shared" si="16"/>
        <v>3.8053357728979893E-2</v>
      </c>
      <c r="M369" s="3">
        <v>4171.67</v>
      </c>
      <c r="N369" s="4">
        <v>2.54</v>
      </c>
      <c r="O369" s="4">
        <f t="shared" si="17"/>
        <v>2.9514503505282425E-2</v>
      </c>
    </row>
    <row r="370" spans="2:15" x14ac:dyDescent="0.3">
      <c r="B370" s="3">
        <v>5949.4</v>
      </c>
      <c r="C370" s="3">
        <v>3146.69</v>
      </c>
      <c r="D370" s="13">
        <f t="shared" si="15"/>
        <v>6.5012103659528184E-2</v>
      </c>
      <c r="G370" s="3">
        <v>5949.4</v>
      </c>
      <c r="H370" s="19">
        <v>88</v>
      </c>
      <c r="I370" s="4">
        <f t="shared" si="16"/>
        <v>3.8053357728979893E-2</v>
      </c>
      <c r="M370" s="3">
        <v>5949.4</v>
      </c>
      <c r="N370" s="4">
        <v>4.46</v>
      </c>
      <c r="O370" s="4">
        <f t="shared" si="17"/>
        <v>2.9514503505282425E-2</v>
      </c>
    </row>
    <row r="371" spans="2:15" x14ac:dyDescent="0.3">
      <c r="B371" s="3">
        <v>5304.38</v>
      </c>
      <c r="C371" s="3">
        <v>2987.75</v>
      </c>
      <c r="D371" s="13">
        <f t="shared" si="15"/>
        <v>6.5012103659528184E-2</v>
      </c>
      <c r="G371" s="3">
        <v>5304.38</v>
      </c>
      <c r="H371" s="19">
        <v>91</v>
      </c>
      <c r="I371" s="4">
        <f t="shared" si="16"/>
        <v>3.8053357728979893E-2</v>
      </c>
      <c r="M371" s="3">
        <v>5304.38</v>
      </c>
      <c r="N371" s="4">
        <v>2.9</v>
      </c>
      <c r="O371" s="4">
        <f t="shared" si="17"/>
        <v>2.9514503505282425E-2</v>
      </c>
    </row>
    <row r="372" spans="2:15" x14ac:dyDescent="0.3">
      <c r="B372" s="3">
        <v>2726.38</v>
      </c>
      <c r="C372" s="3">
        <v>3463.43</v>
      </c>
      <c r="D372" s="13">
        <f t="shared" si="15"/>
        <v>6.5012103659528184E-2</v>
      </c>
      <c r="G372" s="3">
        <v>2726.38</v>
      </c>
      <c r="H372" s="19">
        <v>15</v>
      </c>
      <c r="I372" s="4">
        <f t="shared" si="16"/>
        <v>3.8053357728979893E-2</v>
      </c>
      <c r="M372" s="3">
        <v>2726.38</v>
      </c>
      <c r="N372" s="4">
        <v>1.44</v>
      </c>
      <c r="O372" s="4">
        <f t="shared" si="17"/>
        <v>2.9514503505282425E-2</v>
      </c>
    </row>
    <row r="373" spans="2:15" x14ac:dyDescent="0.3">
      <c r="B373" s="3">
        <v>7321.26</v>
      </c>
      <c r="C373" s="3">
        <v>3095.66</v>
      </c>
      <c r="D373" s="13">
        <f t="shared" si="15"/>
        <v>6.5012103659528184E-2</v>
      </c>
      <c r="G373" s="3">
        <v>7321.26</v>
      </c>
      <c r="H373" s="19">
        <v>32</v>
      </c>
      <c r="I373" s="4">
        <f t="shared" si="16"/>
        <v>3.8053357728979893E-2</v>
      </c>
      <c r="M373" s="3">
        <v>7321.26</v>
      </c>
      <c r="N373" s="4">
        <v>3.54</v>
      </c>
      <c r="O373" s="4">
        <f t="shared" si="17"/>
        <v>2.9514503505282425E-2</v>
      </c>
    </row>
    <row r="374" spans="2:15" x14ac:dyDescent="0.3">
      <c r="B374" s="3">
        <v>7693.82</v>
      </c>
      <c r="C374" s="3">
        <v>2221.54</v>
      </c>
      <c r="D374" s="13">
        <f t="shared" si="15"/>
        <v>6.5012103659528184E-2</v>
      </c>
      <c r="G374" s="3">
        <v>7693.82</v>
      </c>
      <c r="H374" s="19">
        <v>68</v>
      </c>
      <c r="I374" s="4">
        <f t="shared" si="16"/>
        <v>3.8053357728979893E-2</v>
      </c>
      <c r="M374" s="3">
        <v>7693.82</v>
      </c>
      <c r="N374" s="4">
        <v>4.08</v>
      </c>
      <c r="O374" s="4">
        <f t="shared" si="17"/>
        <v>2.9514503505282425E-2</v>
      </c>
    </row>
    <row r="375" spans="2:15" x14ac:dyDescent="0.3">
      <c r="B375" s="3">
        <v>4080.82</v>
      </c>
      <c r="C375" s="3">
        <v>3957.26</v>
      </c>
      <c r="D375" s="13">
        <f t="shared" si="15"/>
        <v>6.5012103659528184E-2</v>
      </c>
      <c r="G375" s="3">
        <v>4080.82</v>
      </c>
      <c r="H375" s="19">
        <v>55</v>
      </c>
      <c r="I375" s="4">
        <f t="shared" si="16"/>
        <v>3.8053357728979893E-2</v>
      </c>
      <c r="M375" s="3">
        <v>4080.82</v>
      </c>
      <c r="N375" s="4">
        <v>1.01</v>
      </c>
      <c r="O375" s="4">
        <f t="shared" si="17"/>
        <v>2.9514503505282425E-2</v>
      </c>
    </row>
    <row r="376" spans="2:15" x14ac:dyDescent="0.3">
      <c r="B376" s="3">
        <v>4418.45</v>
      </c>
      <c r="C376" s="3">
        <v>2873.18</v>
      </c>
      <c r="D376" s="13">
        <f t="shared" si="15"/>
        <v>6.5012103659528184E-2</v>
      </c>
      <c r="G376" s="3">
        <v>4418.45</v>
      </c>
      <c r="H376" s="19">
        <v>47</v>
      </c>
      <c r="I376" s="4">
        <f t="shared" si="16"/>
        <v>3.8053357728979893E-2</v>
      </c>
      <c r="M376" s="3">
        <v>4418.45</v>
      </c>
      <c r="N376" s="4">
        <v>4.4400000000000004</v>
      </c>
      <c r="O376" s="4">
        <f t="shared" si="17"/>
        <v>2.9514503505282425E-2</v>
      </c>
    </row>
    <row r="377" spans="2:15" x14ac:dyDescent="0.3">
      <c r="B377" s="3">
        <v>5428.8</v>
      </c>
      <c r="C377" s="3">
        <v>2978.16</v>
      </c>
      <c r="D377" s="13">
        <f t="shared" si="15"/>
        <v>6.5012103659528184E-2</v>
      </c>
      <c r="G377" s="3">
        <v>5428.8</v>
      </c>
      <c r="H377" s="19">
        <v>23</v>
      </c>
      <c r="I377" s="4">
        <f t="shared" si="16"/>
        <v>3.8053357728979893E-2</v>
      </c>
      <c r="M377" s="3">
        <v>5428.8</v>
      </c>
      <c r="N377" s="4">
        <v>1.74</v>
      </c>
      <c r="O377" s="4">
        <f t="shared" si="17"/>
        <v>2.9514503505282425E-2</v>
      </c>
    </row>
    <row r="378" spans="2:15" x14ac:dyDescent="0.3">
      <c r="B378" s="3">
        <v>5501.69</v>
      </c>
      <c r="C378" s="3">
        <v>2253.39</v>
      </c>
      <c r="D378" s="13">
        <f t="shared" si="15"/>
        <v>6.5012103659528184E-2</v>
      </c>
      <c r="G378" s="3">
        <v>5501.69</v>
      </c>
      <c r="H378" s="19">
        <v>81</v>
      </c>
      <c r="I378" s="4">
        <f t="shared" si="16"/>
        <v>3.8053357728979893E-2</v>
      </c>
      <c r="M378" s="3">
        <v>5501.69</v>
      </c>
      <c r="N378" s="4">
        <v>3.21</v>
      </c>
      <c r="O378" s="4">
        <f t="shared" si="17"/>
        <v>2.9514503505282425E-2</v>
      </c>
    </row>
    <row r="379" spans="2:15" x14ac:dyDescent="0.3">
      <c r="B379" s="3">
        <v>5987.82</v>
      </c>
      <c r="C379" s="3">
        <v>2645.37</v>
      </c>
      <c r="D379" s="13">
        <f t="shared" si="15"/>
        <v>6.5012103659528184E-2</v>
      </c>
      <c r="G379" s="3">
        <v>5987.82</v>
      </c>
      <c r="H379" s="19">
        <v>71</v>
      </c>
      <c r="I379" s="4">
        <f t="shared" si="16"/>
        <v>3.8053357728979893E-2</v>
      </c>
      <c r="M379" s="3">
        <v>5987.82</v>
      </c>
      <c r="N379" s="4">
        <v>2.66</v>
      </c>
      <c r="O379" s="4">
        <f t="shared" si="17"/>
        <v>2.9514503505282425E-2</v>
      </c>
    </row>
    <row r="380" spans="2:15" x14ac:dyDescent="0.3">
      <c r="B380" s="3">
        <v>8015.31</v>
      </c>
      <c r="C380" s="3">
        <v>2292.16</v>
      </c>
      <c r="D380" s="13">
        <f t="shared" si="15"/>
        <v>6.5012103659528184E-2</v>
      </c>
      <c r="G380" s="3">
        <v>8015.31</v>
      </c>
      <c r="H380" s="19">
        <v>44</v>
      </c>
      <c r="I380" s="4">
        <f t="shared" si="16"/>
        <v>3.8053357728979893E-2</v>
      </c>
      <c r="M380" s="3">
        <v>8015.31</v>
      </c>
      <c r="N380" s="4">
        <v>3.88</v>
      </c>
      <c r="O380" s="4">
        <f t="shared" si="17"/>
        <v>2.9514503505282425E-2</v>
      </c>
    </row>
    <row r="381" spans="2:15" x14ac:dyDescent="0.3">
      <c r="B381" s="3">
        <v>4734.58</v>
      </c>
      <c r="C381" s="3">
        <v>2861.64</v>
      </c>
      <c r="D381" s="13">
        <f t="shared" si="15"/>
        <v>6.5012103659528184E-2</v>
      </c>
      <c r="G381" s="3">
        <v>4734.58</v>
      </c>
      <c r="H381" s="19">
        <v>28</v>
      </c>
      <c r="I381" s="4">
        <f t="shared" si="16"/>
        <v>3.8053357728979893E-2</v>
      </c>
      <c r="M381" s="3">
        <v>4734.58</v>
      </c>
      <c r="N381" s="4">
        <v>2.48</v>
      </c>
      <c r="O381" s="4">
        <f t="shared" si="17"/>
        <v>2.9514503505282425E-2</v>
      </c>
    </row>
    <row r="382" spans="2:15" x14ac:dyDescent="0.3">
      <c r="B382" s="3">
        <v>3802.55</v>
      </c>
      <c r="C382" s="3">
        <v>4369.37</v>
      </c>
      <c r="D382" s="13">
        <f t="shared" si="15"/>
        <v>6.5012103659528184E-2</v>
      </c>
      <c r="G382" s="3">
        <v>3802.55</v>
      </c>
      <c r="H382" s="19">
        <v>39</v>
      </c>
      <c r="I382" s="4">
        <f t="shared" si="16"/>
        <v>3.8053357728979893E-2</v>
      </c>
      <c r="M382" s="3">
        <v>3802.55</v>
      </c>
      <c r="N382" s="4">
        <v>4.4800000000000004</v>
      </c>
      <c r="O382" s="4">
        <f t="shared" si="17"/>
        <v>2.9514503505282425E-2</v>
      </c>
    </row>
    <row r="383" spans="2:15" x14ac:dyDescent="0.3">
      <c r="B383" s="3">
        <v>2931.02</v>
      </c>
      <c r="C383" s="3">
        <v>1902.48</v>
      </c>
      <c r="D383" s="13">
        <f t="shared" si="15"/>
        <v>6.5012103659528184E-2</v>
      </c>
      <c r="G383" s="3">
        <v>2931.02</v>
      </c>
      <c r="H383" s="19">
        <v>87</v>
      </c>
      <c r="I383" s="4">
        <f t="shared" si="16"/>
        <v>3.8053357728979893E-2</v>
      </c>
      <c r="M383" s="3">
        <v>2931.02</v>
      </c>
      <c r="N383" s="4">
        <v>3.92</v>
      </c>
      <c r="O383" s="4">
        <f t="shared" si="17"/>
        <v>2.9514503505282425E-2</v>
      </c>
    </row>
    <row r="384" spans="2:15" x14ac:dyDescent="0.3">
      <c r="B384" s="3">
        <v>3903.6</v>
      </c>
      <c r="C384" s="3">
        <v>1709.15</v>
      </c>
      <c r="D384" s="13">
        <f t="shared" si="15"/>
        <v>6.5012103659528184E-2</v>
      </c>
      <c r="G384" s="3">
        <v>3903.6</v>
      </c>
      <c r="H384" s="19">
        <v>93</v>
      </c>
      <c r="I384" s="4">
        <f t="shared" si="16"/>
        <v>3.8053357728979893E-2</v>
      </c>
      <c r="M384" s="3">
        <v>3903.6</v>
      </c>
      <c r="N384" s="4">
        <v>3.59</v>
      </c>
      <c r="O384" s="4">
        <f t="shared" si="17"/>
        <v>2.9514503505282425E-2</v>
      </c>
    </row>
    <row r="385" spans="2:15" x14ac:dyDescent="0.3">
      <c r="B385" s="3">
        <v>4950.3100000000004</v>
      </c>
      <c r="C385" s="3">
        <v>4176.9399999999996</v>
      </c>
      <c r="D385" s="13">
        <f t="shared" si="15"/>
        <v>6.5012103659528184E-2</v>
      </c>
      <c r="G385" s="3">
        <v>4950.3100000000004</v>
      </c>
      <c r="H385" s="19">
        <v>34</v>
      </c>
      <c r="I385" s="4">
        <f t="shared" si="16"/>
        <v>3.8053357728979893E-2</v>
      </c>
      <c r="M385" s="3">
        <v>4950.3100000000004</v>
      </c>
      <c r="N385" s="4">
        <v>4.18</v>
      </c>
      <c r="O385" s="4">
        <f t="shared" si="17"/>
        <v>2.9514503505282425E-2</v>
      </c>
    </row>
    <row r="386" spans="2:15" x14ac:dyDescent="0.3">
      <c r="B386" s="3">
        <v>7691.84</v>
      </c>
      <c r="C386" s="3">
        <v>2832.54</v>
      </c>
      <c r="D386" s="13">
        <f t="shared" si="15"/>
        <v>6.5012103659528184E-2</v>
      </c>
      <c r="G386" s="3">
        <v>7691.84</v>
      </c>
      <c r="H386" s="19">
        <v>49</v>
      </c>
      <c r="I386" s="4">
        <f t="shared" si="16"/>
        <v>3.8053357728979893E-2</v>
      </c>
      <c r="M386" s="3">
        <v>7691.84</v>
      </c>
      <c r="N386" s="4">
        <v>4.0199999999999996</v>
      </c>
      <c r="O386" s="4">
        <f t="shared" si="17"/>
        <v>2.9514503505282425E-2</v>
      </c>
    </row>
    <row r="387" spans="2:15" x14ac:dyDescent="0.3">
      <c r="B387" s="3">
        <v>4223.58</v>
      </c>
      <c r="C387" s="3">
        <v>2464.7399999999998</v>
      </c>
      <c r="D387" s="13">
        <f t="shared" si="15"/>
        <v>6.5012103659528184E-2</v>
      </c>
      <c r="G387" s="3">
        <v>4223.58</v>
      </c>
      <c r="H387" s="19">
        <v>97</v>
      </c>
      <c r="I387" s="4">
        <f t="shared" si="16"/>
        <v>3.8053357728979893E-2</v>
      </c>
      <c r="M387" s="3">
        <v>4223.58</v>
      </c>
      <c r="N387" s="4">
        <v>1.1399999999999999</v>
      </c>
      <c r="O387" s="4">
        <f t="shared" si="17"/>
        <v>2.9514503505282425E-2</v>
      </c>
    </row>
    <row r="388" spans="2:15" x14ac:dyDescent="0.3">
      <c r="B388" s="3">
        <v>5335.68</v>
      </c>
      <c r="C388" s="3">
        <v>3831.92</v>
      </c>
      <c r="D388" s="13">
        <f t="shared" si="15"/>
        <v>6.5012103659528184E-2</v>
      </c>
      <c r="G388" s="3">
        <v>5335.68</v>
      </c>
      <c r="H388" s="19">
        <v>23</v>
      </c>
      <c r="I388" s="4">
        <f t="shared" si="16"/>
        <v>3.8053357728979893E-2</v>
      </c>
      <c r="M388" s="3">
        <v>5335.68</v>
      </c>
      <c r="N388" s="4">
        <v>2.58</v>
      </c>
      <c r="O388" s="4">
        <f t="shared" si="17"/>
        <v>2.9514503505282425E-2</v>
      </c>
    </row>
    <row r="389" spans="2:15" x14ac:dyDescent="0.3">
      <c r="B389" s="3">
        <v>4975.37</v>
      </c>
      <c r="C389" s="3">
        <v>2515.5100000000002</v>
      </c>
      <c r="D389" s="13">
        <f t="shared" si="15"/>
        <v>6.5012103659528184E-2</v>
      </c>
      <c r="G389" s="3">
        <v>4975.37</v>
      </c>
      <c r="H389" s="19">
        <v>35</v>
      </c>
      <c r="I389" s="4">
        <f t="shared" si="16"/>
        <v>3.8053357728979893E-2</v>
      </c>
      <c r="M389" s="3">
        <v>4975.37</v>
      </c>
      <c r="N389" s="4">
        <v>4.72</v>
      </c>
      <c r="O389" s="4">
        <f t="shared" si="17"/>
        <v>2.9514503505282425E-2</v>
      </c>
    </row>
    <row r="390" spans="2:15" x14ac:dyDescent="0.3">
      <c r="B390" s="3">
        <v>6782.59</v>
      </c>
      <c r="C390" s="3">
        <v>4460.8100000000004</v>
      </c>
      <c r="D390" s="13">
        <f t="shared" ref="D390:D453" si="18">CORREL(B:B,C:C)</f>
        <v>6.5012103659528184E-2</v>
      </c>
      <c r="G390" s="3">
        <v>6782.59</v>
      </c>
      <c r="H390" s="19">
        <v>96</v>
      </c>
      <c r="I390" s="4">
        <f t="shared" ref="I390:I453" si="19">CORREL(G:G,H:H)</f>
        <v>3.8053357728979893E-2</v>
      </c>
      <c r="M390" s="3">
        <v>6782.59</v>
      </c>
      <c r="N390" s="4">
        <v>1.5</v>
      </c>
      <c r="O390" s="4">
        <f t="shared" ref="O390:O453" si="20">CORREL(M:M,N:N)</f>
        <v>2.9514503505282425E-2</v>
      </c>
    </row>
    <row r="391" spans="2:15" x14ac:dyDescent="0.3">
      <c r="B391" s="3">
        <v>8790.4</v>
      </c>
      <c r="C391" s="3">
        <v>3542.34</v>
      </c>
      <c r="D391" s="13">
        <f t="shared" si="18"/>
        <v>6.5012103659528184E-2</v>
      </c>
      <c r="G391" s="3">
        <v>8790.4</v>
      </c>
      <c r="H391" s="19">
        <v>31</v>
      </c>
      <c r="I391" s="4">
        <f t="shared" si="19"/>
        <v>3.8053357728979893E-2</v>
      </c>
      <c r="M391" s="3">
        <v>8790.4</v>
      </c>
      <c r="N391" s="4">
        <v>3.95</v>
      </c>
      <c r="O391" s="4">
        <f t="shared" si="20"/>
        <v>2.9514503505282425E-2</v>
      </c>
    </row>
    <row r="392" spans="2:15" x14ac:dyDescent="0.3">
      <c r="B392" s="3">
        <v>4203.7</v>
      </c>
      <c r="C392" s="3">
        <v>2609.67</v>
      </c>
      <c r="D392" s="13">
        <f t="shared" si="18"/>
        <v>6.5012103659528184E-2</v>
      </c>
      <c r="G392" s="3">
        <v>4203.7</v>
      </c>
      <c r="H392" s="19">
        <v>57</v>
      </c>
      <c r="I392" s="4">
        <f t="shared" si="19"/>
        <v>3.8053357728979893E-2</v>
      </c>
      <c r="M392" s="3">
        <v>4203.7</v>
      </c>
      <c r="N392" s="4">
        <v>4.9000000000000004</v>
      </c>
      <c r="O392" s="4">
        <f t="shared" si="20"/>
        <v>2.9514503505282425E-2</v>
      </c>
    </row>
    <row r="393" spans="2:15" x14ac:dyDescent="0.3">
      <c r="B393" s="3">
        <v>4265.84</v>
      </c>
      <c r="C393" s="3">
        <v>4725.8500000000004</v>
      </c>
      <c r="D393" s="13">
        <f t="shared" si="18"/>
        <v>6.5012103659528184E-2</v>
      </c>
      <c r="G393" s="3">
        <v>4265.84</v>
      </c>
      <c r="H393" s="19">
        <v>92</v>
      </c>
      <c r="I393" s="4">
        <f t="shared" si="19"/>
        <v>3.8053357728979893E-2</v>
      </c>
      <c r="M393" s="3">
        <v>4265.84</v>
      </c>
      <c r="N393" s="4">
        <v>1.21</v>
      </c>
      <c r="O393" s="4">
        <f t="shared" si="20"/>
        <v>2.9514503505282425E-2</v>
      </c>
    </row>
    <row r="394" spans="2:15" x14ac:dyDescent="0.3">
      <c r="B394" s="3">
        <v>6566.24</v>
      </c>
      <c r="C394" s="3">
        <v>2515.4299999999998</v>
      </c>
      <c r="D394" s="13">
        <f t="shared" si="18"/>
        <v>6.5012103659528184E-2</v>
      </c>
      <c r="G394" s="3">
        <v>6566.24</v>
      </c>
      <c r="H394" s="19">
        <v>60</v>
      </c>
      <c r="I394" s="4">
        <f t="shared" si="19"/>
        <v>3.8053357728979893E-2</v>
      </c>
      <c r="M394" s="3">
        <v>6566.24</v>
      </c>
      <c r="N394" s="4">
        <v>3.73</v>
      </c>
      <c r="O394" s="4">
        <f t="shared" si="20"/>
        <v>2.9514503505282425E-2</v>
      </c>
    </row>
    <row r="395" spans="2:15" x14ac:dyDescent="0.3">
      <c r="B395" s="3">
        <v>6022.84</v>
      </c>
      <c r="C395" s="3">
        <v>3593.68</v>
      </c>
      <c r="D395" s="13">
        <f t="shared" si="18"/>
        <v>6.5012103659528184E-2</v>
      </c>
      <c r="G395" s="3">
        <v>6022.84</v>
      </c>
      <c r="H395" s="19">
        <v>12</v>
      </c>
      <c r="I395" s="4">
        <f t="shared" si="19"/>
        <v>3.8053357728979893E-2</v>
      </c>
      <c r="M395" s="3">
        <v>6022.84</v>
      </c>
      <c r="N395" s="4">
        <v>2.87</v>
      </c>
      <c r="O395" s="4">
        <f t="shared" si="20"/>
        <v>2.9514503505282425E-2</v>
      </c>
    </row>
    <row r="396" spans="2:15" x14ac:dyDescent="0.3">
      <c r="B396" s="3">
        <v>7770.06</v>
      </c>
      <c r="C396" s="3">
        <v>3239.43</v>
      </c>
      <c r="D396" s="13">
        <f t="shared" si="18"/>
        <v>6.5012103659528184E-2</v>
      </c>
      <c r="G396" s="3">
        <v>7770.06</v>
      </c>
      <c r="H396" s="19">
        <v>51</v>
      </c>
      <c r="I396" s="4">
        <f t="shared" si="19"/>
        <v>3.8053357728979893E-2</v>
      </c>
      <c r="M396" s="3">
        <v>7770.06</v>
      </c>
      <c r="N396" s="4">
        <v>3.32</v>
      </c>
      <c r="O396" s="4">
        <f t="shared" si="20"/>
        <v>2.9514503505282425E-2</v>
      </c>
    </row>
    <row r="397" spans="2:15" x14ac:dyDescent="0.3">
      <c r="B397" s="3">
        <v>5875.89</v>
      </c>
      <c r="C397" s="3">
        <v>4041.39</v>
      </c>
      <c r="D397" s="13">
        <f t="shared" si="18"/>
        <v>6.5012103659528184E-2</v>
      </c>
      <c r="G397" s="3">
        <v>5875.89</v>
      </c>
      <c r="H397" s="19">
        <v>28</v>
      </c>
      <c r="I397" s="4">
        <f t="shared" si="19"/>
        <v>3.8053357728979893E-2</v>
      </c>
      <c r="M397" s="3">
        <v>5875.89</v>
      </c>
      <c r="N397" s="4">
        <v>1.34</v>
      </c>
      <c r="O397" s="4">
        <f t="shared" si="20"/>
        <v>2.9514503505282425E-2</v>
      </c>
    </row>
    <row r="398" spans="2:15" x14ac:dyDescent="0.3">
      <c r="B398" s="3">
        <v>4461.0600000000004</v>
      </c>
      <c r="C398" s="3">
        <v>4249.21</v>
      </c>
      <c r="D398" s="13">
        <f t="shared" si="18"/>
        <v>6.5012103659528184E-2</v>
      </c>
      <c r="G398" s="3">
        <v>4461.0600000000004</v>
      </c>
      <c r="H398" s="19">
        <v>82</v>
      </c>
      <c r="I398" s="4">
        <f t="shared" si="19"/>
        <v>3.8053357728979893E-2</v>
      </c>
      <c r="M398" s="3">
        <v>4461.0600000000004</v>
      </c>
      <c r="N398" s="4">
        <v>1.17</v>
      </c>
      <c r="O398" s="4">
        <f t="shared" si="20"/>
        <v>2.9514503505282425E-2</v>
      </c>
    </row>
    <row r="399" spans="2:15" x14ac:dyDescent="0.3">
      <c r="B399" s="3">
        <v>5885.98</v>
      </c>
      <c r="C399" s="3">
        <v>3025.6</v>
      </c>
      <c r="D399" s="13">
        <f t="shared" si="18"/>
        <v>6.5012103659528184E-2</v>
      </c>
      <c r="G399" s="3">
        <v>5885.98</v>
      </c>
      <c r="H399" s="19">
        <v>37</v>
      </c>
      <c r="I399" s="4">
        <f t="shared" si="19"/>
        <v>3.8053357728979893E-2</v>
      </c>
      <c r="M399" s="3">
        <v>5885.98</v>
      </c>
      <c r="N399" s="4">
        <v>3.67</v>
      </c>
      <c r="O399" s="4">
        <f t="shared" si="20"/>
        <v>2.9514503505282425E-2</v>
      </c>
    </row>
    <row r="400" spans="2:15" x14ac:dyDescent="0.3">
      <c r="B400" s="3">
        <v>6663.06</v>
      </c>
      <c r="C400" s="3">
        <v>2397.27</v>
      </c>
      <c r="D400" s="13">
        <f t="shared" si="18"/>
        <v>6.5012103659528184E-2</v>
      </c>
      <c r="G400" s="3">
        <v>6663.06</v>
      </c>
      <c r="H400" s="19">
        <v>93</v>
      </c>
      <c r="I400" s="4">
        <f t="shared" si="19"/>
        <v>3.8053357728979893E-2</v>
      </c>
      <c r="M400" s="3">
        <v>6663.06</v>
      </c>
      <c r="N400" s="4">
        <v>4.29</v>
      </c>
      <c r="O400" s="4">
        <f t="shared" si="20"/>
        <v>2.9514503505282425E-2</v>
      </c>
    </row>
    <row r="401" spans="2:15" x14ac:dyDescent="0.3">
      <c r="B401" s="3">
        <v>6230.72</v>
      </c>
      <c r="C401" s="3">
        <v>3367.98</v>
      </c>
      <c r="D401" s="13">
        <f t="shared" si="18"/>
        <v>6.5012103659528184E-2</v>
      </c>
      <c r="G401" s="3">
        <v>6230.72</v>
      </c>
      <c r="H401" s="19">
        <v>54</v>
      </c>
      <c r="I401" s="4">
        <f t="shared" si="19"/>
        <v>3.8053357728979893E-2</v>
      </c>
      <c r="M401" s="3">
        <v>6230.72</v>
      </c>
      <c r="N401" s="4">
        <v>4.13</v>
      </c>
      <c r="O401" s="4">
        <f t="shared" si="20"/>
        <v>2.9514503505282425E-2</v>
      </c>
    </row>
    <row r="402" spans="2:15" x14ac:dyDescent="0.3">
      <c r="B402" s="3">
        <v>5760.91</v>
      </c>
      <c r="C402" s="3">
        <v>2457.83</v>
      </c>
      <c r="D402" s="13">
        <f t="shared" si="18"/>
        <v>6.5012103659528184E-2</v>
      </c>
      <c r="G402" s="3">
        <v>5760.91</v>
      </c>
      <c r="H402" s="19">
        <v>80</v>
      </c>
      <c r="I402" s="4">
        <f t="shared" si="19"/>
        <v>3.8053357728979893E-2</v>
      </c>
      <c r="M402" s="3">
        <v>5760.91</v>
      </c>
      <c r="N402" s="4">
        <v>3.18</v>
      </c>
      <c r="O402" s="4">
        <f t="shared" si="20"/>
        <v>2.9514503505282425E-2</v>
      </c>
    </row>
    <row r="403" spans="2:15" x14ac:dyDescent="0.3">
      <c r="B403" s="3">
        <v>6600.01</v>
      </c>
      <c r="C403" s="3">
        <v>4610.71</v>
      </c>
      <c r="D403" s="13">
        <f t="shared" si="18"/>
        <v>6.5012103659528184E-2</v>
      </c>
      <c r="G403" s="3">
        <v>6600.01</v>
      </c>
      <c r="H403" s="19">
        <v>87</v>
      </c>
      <c r="I403" s="4">
        <f t="shared" si="19"/>
        <v>3.8053357728979893E-2</v>
      </c>
      <c r="M403" s="3">
        <v>6600.01</v>
      </c>
      <c r="N403" s="4">
        <v>1.4</v>
      </c>
      <c r="O403" s="4">
        <f t="shared" si="20"/>
        <v>2.9514503505282425E-2</v>
      </c>
    </row>
    <row r="404" spans="2:15" x14ac:dyDescent="0.3">
      <c r="B404" s="3">
        <v>6753.94</v>
      </c>
      <c r="C404" s="3">
        <v>3109.23</v>
      </c>
      <c r="D404" s="13">
        <f t="shared" si="18"/>
        <v>6.5012103659528184E-2</v>
      </c>
      <c r="G404" s="3">
        <v>6753.94</v>
      </c>
      <c r="H404" s="19">
        <v>72</v>
      </c>
      <c r="I404" s="4">
        <f t="shared" si="19"/>
        <v>3.8053357728979893E-2</v>
      </c>
      <c r="M404" s="3">
        <v>6753.94</v>
      </c>
      <c r="N404" s="4">
        <v>3.75</v>
      </c>
      <c r="O404" s="4">
        <f t="shared" si="20"/>
        <v>2.9514503505282425E-2</v>
      </c>
    </row>
    <row r="405" spans="2:15" x14ac:dyDescent="0.3">
      <c r="B405" s="3">
        <v>7073.24</v>
      </c>
      <c r="C405" s="3">
        <v>2707.74</v>
      </c>
      <c r="D405" s="13">
        <f t="shared" si="18"/>
        <v>6.5012103659528184E-2</v>
      </c>
      <c r="G405" s="3">
        <v>7073.24</v>
      </c>
      <c r="H405" s="19">
        <v>82</v>
      </c>
      <c r="I405" s="4">
        <f t="shared" si="19"/>
        <v>3.8053357728979893E-2</v>
      </c>
      <c r="M405" s="3">
        <v>7073.24</v>
      </c>
      <c r="N405" s="4">
        <v>1.97</v>
      </c>
      <c r="O405" s="4">
        <f t="shared" si="20"/>
        <v>2.9514503505282425E-2</v>
      </c>
    </row>
    <row r="406" spans="2:15" x14ac:dyDescent="0.3">
      <c r="B406" s="3">
        <v>5973.06</v>
      </c>
      <c r="C406" s="3">
        <v>3147.74</v>
      </c>
      <c r="D406" s="13">
        <f t="shared" si="18"/>
        <v>6.5012103659528184E-2</v>
      </c>
      <c r="G406" s="3">
        <v>5973.06</v>
      </c>
      <c r="H406" s="19">
        <v>28</v>
      </c>
      <c r="I406" s="4">
        <f t="shared" si="19"/>
        <v>3.8053357728979893E-2</v>
      </c>
      <c r="M406" s="3">
        <v>5973.06</v>
      </c>
      <c r="N406" s="4">
        <v>4.6399999999999997</v>
      </c>
      <c r="O406" s="4">
        <f t="shared" si="20"/>
        <v>2.9514503505282425E-2</v>
      </c>
    </row>
    <row r="407" spans="2:15" x14ac:dyDescent="0.3">
      <c r="B407" s="3">
        <v>4749.32</v>
      </c>
      <c r="C407" s="3">
        <v>1922.3</v>
      </c>
      <c r="D407" s="13">
        <f t="shared" si="18"/>
        <v>6.5012103659528184E-2</v>
      </c>
      <c r="G407" s="3">
        <v>4749.32</v>
      </c>
      <c r="H407" s="19">
        <v>56</v>
      </c>
      <c r="I407" s="4">
        <f t="shared" si="19"/>
        <v>3.8053357728979893E-2</v>
      </c>
      <c r="M407" s="3">
        <v>4749.32</v>
      </c>
      <c r="N407" s="4">
        <v>4.3499999999999996</v>
      </c>
      <c r="O407" s="4">
        <f t="shared" si="20"/>
        <v>2.9514503505282425E-2</v>
      </c>
    </row>
    <row r="408" spans="2:15" x14ac:dyDescent="0.3">
      <c r="B408" s="3">
        <v>5220.07</v>
      </c>
      <c r="C408" s="3">
        <v>2222.71</v>
      </c>
      <c r="D408" s="13">
        <f t="shared" si="18"/>
        <v>6.5012103659528184E-2</v>
      </c>
      <c r="G408" s="3">
        <v>5220.07</v>
      </c>
      <c r="H408" s="19">
        <v>23</v>
      </c>
      <c r="I408" s="4">
        <f t="shared" si="19"/>
        <v>3.8053357728979893E-2</v>
      </c>
      <c r="M408" s="3">
        <v>5220.07</v>
      </c>
      <c r="N408" s="4">
        <v>3.84</v>
      </c>
      <c r="O408" s="4">
        <f t="shared" si="20"/>
        <v>2.9514503505282425E-2</v>
      </c>
    </row>
    <row r="409" spans="2:15" x14ac:dyDescent="0.3">
      <c r="B409" s="3">
        <v>6809.76</v>
      </c>
      <c r="C409" s="3">
        <v>3960.33</v>
      </c>
      <c r="D409" s="13">
        <f t="shared" si="18"/>
        <v>6.5012103659528184E-2</v>
      </c>
      <c r="G409" s="3">
        <v>6809.76</v>
      </c>
      <c r="H409" s="19">
        <v>47</v>
      </c>
      <c r="I409" s="4">
        <f t="shared" si="19"/>
        <v>3.8053357728979893E-2</v>
      </c>
      <c r="M409" s="3">
        <v>6809.76</v>
      </c>
      <c r="N409" s="4">
        <v>4.8</v>
      </c>
      <c r="O409" s="4">
        <f t="shared" si="20"/>
        <v>2.9514503505282425E-2</v>
      </c>
    </row>
    <row r="410" spans="2:15" x14ac:dyDescent="0.3">
      <c r="B410" s="3">
        <v>3774.6</v>
      </c>
      <c r="C410" s="3">
        <v>2474.48</v>
      </c>
      <c r="D410" s="13">
        <f t="shared" si="18"/>
        <v>6.5012103659528184E-2</v>
      </c>
      <c r="G410" s="3">
        <v>3774.6</v>
      </c>
      <c r="H410" s="19">
        <v>62</v>
      </c>
      <c r="I410" s="4">
        <f t="shared" si="19"/>
        <v>3.8053357728979893E-2</v>
      </c>
      <c r="M410" s="3">
        <v>3774.6</v>
      </c>
      <c r="N410" s="4">
        <v>1.1299999999999999</v>
      </c>
      <c r="O410" s="4">
        <f t="shared" si="20"/>
        <v>2.9514503505282425E-2</v>
      </c>
    </row>
    <row r="411" spans="2:15" x14ac:dyDescent="0.3">
      <c r="B411" s="3">
        <v>5553.01</v>
      </c>
      <c r="C411" s="3">
        <v>2162.4699999999998</v>
      </c>
      <c r="D411" s="13">
        <f t="shared" si="18"/>
        <v>6.5012103659528184E-2</v>
      </c>
      <c r="G411" s="3">
        <v>5553.01</v>
      </c>
      <c r="H411" s="19">
        <v>70</v>
      </c>
      <c r="I411" s="4">
        <f t="shared" si="19"/>
        <v>3.8053357728979893E-2</v>
      </c>
      <c r="M411" s="3">
        <v>5553.01</v>
      </c>
      <c r="N411" s="4">
        <v>3.94</v>
      </c>
      <c r="O411" s="4">
        <f t="shared" si="20"/>
        <v>2.9514503505282425E-2</v>
      </c>
    </row>
    <row r="412" spans="2:15" x14ac:dyDescent="0.3">
      <c r="B412" s="3">
        <v>4409.99</v>
      </c>
      <c r="C412" s="3">
        <v>3429.32</v>
      </c>
      <c r="D412" s="13">
        <f t="shared" si="18"/>
        <v>6.5012103659528184E-2</v>
      </c>
      <c r="G412" s="3">
        <v>4409.99</v>
      </c>
      <c r="H412" s="19">
        <v>45</v>
      </c>
      <c r="I412" s="4">
        <f t="shared" si="19"/>
        <v>3.8053357728979893E-2</v>
      </c>
      <c r="M412" s="3">
        <v>4409.99</v>
      </c>
      <c r="N412" s="4">
        <v>2.3199999999999998</v>
      </c>
      <c r="O412" s="4">
        <f t="shared" si="20"/>
        <v>2.9514503505282425E-2</v>
      </c>
    </row>
    <row r="413" spans="2:15" x14ac:dyDescent="0.3">
      <c r="B413" s="3">
        <v>5043.12</v>
      </c>
      <c r="C413" s="3">
        <v>3948.56</v>
      </c>
      <c r="D413" s="13">
        <f t="shared" si="18"/>
        <v>6.5012103659528184E-2</v>
      </c>
      <c r="G413" s="3">
        <v>5043.12</v>
      </c>
      <c r="H413" s="19">
        <v>49</v>
      </c>
      <c r="I413" s="4">
        <f t="shared" si="19"/>
        <v>3.8053357728979893E-2</v>
      </c>
      <c r="M413" s="3">
        <v>5043.12</v>
      </c>
      <c r="N413" s="4">
        <v>4.62</v>
      </c>
      <c r="O413" s="4">
        <f t="shared" si="20"/>
        <v>2.9514503505282425E-2</v>
      </c>
    </row>
    <row r="414" spans="2:15" x14ac:dyDescent="0.3">
      <c r="B414" s="3">
        <v>6917.68</v>
      </c>
      <c r="C414" s="3">
        <v>3575.16</v>
      </c>
      <c r="D414" s="13">
        <f t="shared" si="18"/>
        <v>6.5012103659528184E-2</v>
      </c>
      <c r="G414" s="3">
        <v>6917.68</v>
      </c>
      <c r="H414" s="19">
        <v>90</v>
      </c>
      <c r="I414" s="4">
        <f t="shared" si="19"/>
        <v>3.8053357728979893E-2</v>
      </c>
      <c r="M414" s="3">
        <v>6917.68</v>
      </c>
      <c r="N414" s="4">
        <v>2.0699999999999998</v>
      </c>
      <c r="O414" s="4">
        <f t="shared" si="20"/>
        <v>2.9514503505282425E-2</v>
      </c>
    </row>
    <row r="415" spans="2:15" x14ac:dyDescent="0.3">
      <c r="B415" s="3">
        <v>5286.65</v>
      </c>
      <c r="C415" s="3">
        <v>3796.84</v>
      </c>
      <c r="D415" s="13">
        <f t="shared" si="18"/>
        <v>6.5012103659528184E-2</v>
      </c>
      <c r="G415" s="3">
        <v>5286.65</v>
      </c>
      <c r="H415" s="19">
        <v>39</v>
      </c>
      <c r="I415" s="4">
        <f t="shared" si="19"/>
        <v>3.8053357728979893E-2</v>
      </c>
      <c r="M415" s="3">
        <v>5286.65</v>
      </c>
      <c r="N415" s="4">
        <v>3.9</v>
      </c>
      <c r="O415" s="4">
        <f t="shared" si="20"/>
        <v>2.9514503505282425E-2</v>
      </c>
    </row>
    <row r="416" spans="2:15" x14ac:dyDescent="0.3">
      <c r="B416" s="3">
        <v>5069.6499999999996</v>
      </c>
      <c r="C416" s="3">
        <v>2394.56</v>
      </c>
      <c r="D416" s="13">
        <f t="shared" si="18"/>
        <v>6.5012103659528184E-2</v>
      </c>
      <c r="G416" s="3">
        <v>5069.6499999999996</v>
      </c>
      <c r="H416" s="19">
        <v>18</v>
      </c>
      <c r="I416" s="4">
        <f t="shared" si="19"/>
        <v>3.8053357728979893E-2</v>
      </c>
      <c r="M416" s="3">
        <v>5069.6499999999996</v>
      </c>
      <c r="N416" s="4">
        <v>4.51</v>
      </c>
      <c r="O416" s="4">
        <f t="shared" si="20"/>
        <v>2.9514503505282425E-2</v>
      </c>
    </row>
    <row r="417" spans="2:15" x14ac:dyDescent="0.3">
      <c r="B417" s="3">
        <v>2960.22</v>
      </c>
      <c r="C417" s="3">
        <v>1862.55</v>
      </c>
      <c r="D417" s="13">
        <f t="shared" si="18"/>
        <v>6.5012103659528184E-2</v>
      </c>
      <c r="G417" s="3">
        <v>2960.22</v>
      </c>
      <c r="H417" s="19">
        <v>73</v>
      </c>
      <c r="I417" s="4">
        <f t="shared" si="19"/>
        <v>3.8053357728979893E-2</v>
      </c>
      <c r="M417" s="3">
        <v>2960.22</v>
      </c>
      <c r="N417" s="4">
        <v>1.17</v>
      </c>
      <c r="O417" s="4">
        <f t="shared" si="20"/>
        <v>2.9514503505282425E-2</v>
      </c>
    </row>
    <row r="418" spans="2:15" x14ac:dyDescent="0.3">
      <c r="B418" s="3">
        <v>6119.38</v>
      </c>
      <c r="C418" s="3">
        <v>4201.07</v>
      </c>
      <c r="D418" s="13">
        <f t="shared" si="18"/>
        <v>6.5012103659528184E-2</v>
      </c>
      <c r="G418" s="3">
        <v>6119.38</v>
      </c>
      <c r="H418" s="19">
        <v>42</v>
      </c>
      <c r="I418" s="4">
        <f t="shared" si="19"/>
        <v>3.8053357728979893E-2</v>
      </c>
      <c r="M418" s="3">
        <v>6119.38</v>
      </c>
      <c r="N418" s="4">
        <v>2.59</v>
      </c>
      <c r="O418" s="4">
        <f t="shared" si="20"/>
        <v>2.9514503505282425E-2</v>
      </c>
    </row>
    <row r="419" spans="2:15" x14ac:dyDescent="0.3">
      <c r="B419" s="3">
        <v>5968.23</v>
      </c>
      <c r="C419" s="3">
        <v>2741.86</v>
      </c>
      <c r="D419" s="13">
        <f t="shared" si="18"/>
        <v>6.5012103659528184E-2</v>
      </c>
      <c r="G419" s="3">
        <v>5968.23</v>
      </c>
      <c r="H419" s="19">
        <v>61</v>
      </c>
      <c r="I419" s="4">
        <f t="shared" si="19"/>
        <v>3.8053357728979893E-2</v>
      </c>
      <c r="M419" s="3">
        <v>5968.23</v>
      </c>
      <c r="N419" s="4">
        <v>4.05</v>
      </c>
      <c r="O419" s="4">
        <f t="shared" si="20"/>
        <v>2.9514503505282425E-2</v>
      </c>
    </row>
    <row r="420" spans="2:15" x14ac:dyDescent="0.3">
      <c r="B420" s="3">
        <v>8244.8799999999992</v>
      </c>
      <c r="C420" s="3">
        <v>2799.33</v>
      </c>
      <c r="D420" s="13">
        <f t="shared" si="18"/>
        <v>6.5012103659528184E-2</v>
      </c>
      <c r="G420" s="3">
        <v>8244.8799999999992</v>
      </c>
      <c r="H420" s="19">
        <v>98</v>
      </c>
      <c r="I420" s="4">
        <f t="shared" si="19"/>
        <v>3.8053357728979893E-2</v>
      </c>
      <c r="M420" s="3">
        <v>8244.8799999999992</v>
      </c>
      <c r="N420" s="4">
        <v>2.82</v>
      </c>
      <c r="O420" s="4">
        <f t="shared" si="20"/>
        <v>2.9514503505282425E-2</v>
      </c>
    </row>
    <row r="421" spans="2:15" x14ac:dyDescent="0.3">
      <c r="B421" s="3">
        <v>4538.33</v>
      </c>
      <c r="C421" s="3">
        <v>4062.56</v>
      </c>
      <c r="D421" s="13">
        <f t="shared" si="18"/>
        <v>6.5012103659528184E-2</v>
      </c>
      <c r="G421" s="3">
        <v>4538.33</v>
      </c>
      <c r="H421" s="19">
        <v>23</v>
      </c>
      <c r="I421" s="4">
        <f t="shared" si="19"/>
        <v>3.8053357728979893E-2</v>
      </c>
      <c r="M421" s="3">
        <v>4538.33</v>
      </c>
      <c r="N421" s="4">
        <v>2.0699999999999998</v>
      </c>
      <c r="O421" s="4">
        <f t="shared" si="20"/>
        <v>2.9514503505282425E-2</v>
      </c>
    </row>
    <row r="422" spans="2:15" x14ac:dyDescent="0.3">
      <c r="B422" s="3">
        <v>5328.73</v>
      </c>
      <c r="C422" s="3">
        <v>3444.98</v>
      </c>
      <c r="D422" s="13">
        <f t="shared" si="18"/>
        <v>6.5012103659528184E-2</v>
      </c>
      <c r="G422" s="3">
        <v>5328.73</v>
      </c>
      <c r="H422" s="19">
        <v>84</v>
      </c>
      <c r="I422" s="4">
        <f t="shared" si="19"/>
        <v>3.8053357728979893E-2</v>
      </c>
      <c r="M422" s="3">
        <v>5328.73</v>
      </c>
      <c r="N422" s="4">
        <v>1.88</v>
      </c>
      <c r="O422" s="4">
        <f t="shared" si="20"/>
        <v>2.9514503505282425E-2</v>
      </c>
    </row>
    <row r="423" spans="2:15" x14ac:dyDescent="0.3">
      <c r="B423" s="3">
        <v>5374.08</v>
      </c>
      <c r="C423" s="3">
        <v>3364.71</v>
      </c>
      <c r="D423" s="13">
        <f t="shared" si="18"/>
        <v>6.5012103659528184E-2</v>
      </c>
      <c r="G423" s="3">
        <v>5374.08</v>
      </c>
      <c r="H423" s="19">
        <v>62</v>
      </c>
      <c r="I423" s="4">
        <f t="shared" si="19"/>
        <v>3.8053357728979893E-2</v>
      </c>
      <c r="M423" s="3">
        <v>5374.08</v>
      </c>
      <c r="N423" s="4">
        <v>1.53</v>
      </c>
      <c r="O423" s="4">
        <f t="shared" si="20"/>
        <v>2.9514503505282425E-2</v>
      </c>
    </row>
    <row r="424" spans="2:15" x14ac:dyDescent="0.3">
      <c r="B424" s="3">
        <v>7366.18</v>
      </c>
      <c r="C424" s="3">
        <v>4732</v>
      </c>
      <c r="D424" s="13">
        <f t="shared" si="18"/>
        <v>6.5012103659528184E-2</v>
      </c>
      <c r="G424" s="3">
        <v>7366.18</v>
      </c>
      <c r="H424" s="19">
        <v>68</v>
      </c>
      <c r="I424" s="4">
        <f t="shared" si="19"/>
        <v>3.8053357728979893E-2</v>
      </c>
      <c r="M424" s="3">
        <v>7366.18</v>
      </c>
      <c r="N424" s="4">
        <v>4.43</v>
      </c>
      <c r="O424" s="4">
        <f t="shared" si="20"/>
        <v>2.9514503505282425E-2</v>
      </c>
    </row>
    <row r="425" spans="2:15" x14ac:dyDescent="0.3">
      <c r="B425" s="3">
        <v>4857.0600000000004</v>
      </c>
      <c r="C425" s="3">
        <v>2485.19</v>
      </c>
      <c r="D425" s="13">
        <f t="shared" si="18"/>
        <v>6.5012103659528184E-2</v>
      </c>
      <c r="G425" s="3">
        <v>4857.0600000000004</v>
      </c>
      <c r="H425" s="19">
        <v>87</v>
      </c>
      <c r="I425" s="4">
        <f t="shared" si="19"/>
        <v>3.8053357728979893E-2</v>
      </c>
      <c r="M425" s="3">
        <v>4857.0600000000004</v>
      </c>
      <c r="N425" s="4">
        <v>3.3</v>
      </c>
      <c r="O425" s="4">
        <f t="shared" si="20"/>
        <v>2.9514503505282425E-2</v>
      </c>
    </row>
    <row r="426" spans="2:15" x14ac:dyDescent="0.3">
      <c r="B426" s="3">
        <v>5418.53</v>
      </c>
      <c r="C426" s="3">
        <v>3742.27</v>
      </c>
      <c r="D426" s="13">
        <f t="shared" si="18"/>
        <v>6.5012103659528184E-2</v>
      </c>
      <c r="G426" s="3">
        <v>5418.53</v>
      </c>
      <c r="H426" s="19">
        <v>50</v>
      </c>
      <c r="I426" s="4">
        <f t="shared" si="19"/>
        <v>3.8053357728979893E-2</v>
      </c>
      <c r="M426" s="3">
        <v>5418.53</v>
      </c>
      <c r="N426" s="4">
        <v>1.31</v>
      </c>
      <c r="O426" s="4">
        <f t="shared" si="20"/>
        <v>2.9514503505282425E-2</v>
      </c>
    </row>
    <row r="427" spans="2:15" x14ac:dyDescent="0.3">
      <c r="B427" s="3">
        <v>5911.84</v>
      </c>
      <c r="C427" s="3">
        <v>3045.61</v>
      </c>
      <c r="D427" s="13">
        <f t="shared" si="18"/>
        <v>6.5012103659528184E-2</v>
      </c>
      <c r="G427" s="3">
        <v>5911.84</v>
      </c>
      <c r="H427" s="19">
        <v>77</v>
      </c>
      <c r="I427" s="4">
        <f t="shared" si="19"/>
        <v>3.8053357728979893E-2</v>
      </c>
      <c r="M427" s="3">
        <v>5911.84</v>
      </c>
      <c r="N427" s="4">
        <v>2.5299999999999998</v>
      </c>
      <c r="O427" s="4">
        <f t="shared" si="20"/>
        <v>2.9514503505282425E-2</v>
      </c>
    </row>
    <row r="428" spans="2:15" x14ac:dyDescent="0.3">
      <c r="B428" s="3">
        <v>5279.91</v>
      </c>
      <c r="C428" s="3">
        <v>3214.87</v>
      </c>
      <c r="D428" s="13">
        <f t="shared" si="18"/>
        <v>6.5012103659528184E-2</v>
      </c>
      <c r="G428" s="3">
        <v>5279.91</v>
      </c>
      <c r="H428" s="19">
        <v>77</v>
      </c>
      <c r="I428" s="4">
        <f t="shared" si="19"/>
        <v>3.8053357728979893E-2</v>
      </c>
      <c r="M428" s="3">
        <v>5279.91</v>
      </c>
      <c r="N428" s="4">
        <v>2.4700000000000002</v>
      </c>
      <c r="O428" s="4">
        <f t="shared" si="20"/>
        <v>2.9514503505282425E-2</v>
      </c>
    </row>
    <row r="429" spans="2:15" x14ac:dyDescent="0.3">
      <c r="B429" s="3">
        <v>4330.3500000000004</v>
      </c>
      <c r="C429" s="3">
        <v>4222.7700000000004</v>
      </c>
      <c r="D429" s="13">
        <f t="shared" si="18"/>
        <v>6.5012103659528184E-2</v>
      </c>
      <c r="G429" s="3">
        <v>4330.3500000000004</v>
      </c>
      <c r="H429" s="19">
        <v>17</v>
      </c>
      <c r="I429" s="4">
        <f t="shared" si="19"/>
        <v>3.8053357728979893E-2</v>
      </c>
      <c r="M429" s="3">
        <v>4330.3500000000004</v>
      </c>
      <c r="N429" s="4">
        <v>1.73</v>
      </c>
      <c r="O429" s="4">
        <f t="shared" si="20"/>
        <v>2.9514503505282425E-2</v>
      </c>
    </row>
    <row r="430" spans="2:15" x14ac:dyDescent="0.3">
      <c r="B430" s="3">
        <v>5291.13</v>
      </c>
      <c r="C430" s="3">
        <v>3406.27</v>
      </c>
      <c r="D430" s="13">
        <f t="shared" si="18"/>
        <v>6.5012103659528184E-2</v>
      </c>
      <c r="G430" s="3">
        <v>5291.13</v>
      </c>
      <c r="H430" s="19">
        <v>11</v>
      </c>
      <c r="I430" s="4">
        <f t="shared" si="19"/>
        <v>3.8053357728979893E-2</v>
      </c>
      <c r="M430" s="3">
        <v>5291.13</v>
      </c>
      <c r="N430" s="4">
        <v>2.74</v>
      </c>
      <c r="O430" s="4">
        <f t="shared" si="20"/>
        <v>2.9514503505282425E-2</v>
      </c>
    </row>
    <row r="431" spans="2:15" x14ac:dyDescent="0.3">
      <c r="B431" s="3">
        <v>6610.45</v>
      </c>
      <c r="C431" s="3">
        <v>3430.64</v>
      </c>
      <c r="D431" s="13">
        <f t="shared" si="18"/>
        <v>6.5012103659528184E-2</v>
      </c>
      <c r="G431" s="3">
        <v>6610.45</v>
      </c>
      <c r="H431" s="19">
        <v>95</v>
      </c>
      <c r="I431" s="4">
        <f t="shared" si="19"/>
        <v>3.8053357728979893E-2</v>
      </c>
      <c r="M431" s="3">
        <v>6610.45</v>
      </c>
      <c r="N431" s="4">
        <v>2.33</v>
      </c>
      <c r="O431" s="4">
        <f t="shared" si="20"/>
        <v>2.9514503505282425E-2</v>
      </c>
    </row>
    <row r="432" spans="2:15" x14ac:dyDescent="0.3">
      <c r="B432" s="3">
        <v>3460.23</v>
      </c>
      <c r="C432" s="3">
        <v>3858.01</v>
      </c>
      <c r="D432" s="13">
        <f t="shared" si="18"/>
        <v>6.5012103659528184E-2</v>
      </c>
      <c r="G432" s="3">
        <v>3460.23</v>
      </c>
      <c r="H432" s="19">
        <v>50</v>
      </c>
      <c r="I432" s="4">
        <f t="shared" si="19"/>
        <v>3.8053357728979893E-2</v>
      </c>
      <c r="M432" s="3">
        <v>3460.23</v>
      </c>
      <c r="N432" s="4">
        <v>2.37</v>
      </c>
      <c r="O432" s="4">
        <f t="shared" si="20"/>
        <v>2.9514503505282425E-2</v>
      </c>
    </row>
    <row r="433" spans="2:15" x14ac:dyDescent="0.3">
      <c r="B433" s="3">
        <v>5199.45</v>
      </c>
      <c r="C433" s="3">
        <v>2708.04</v>
      </c>
      <c r="D433" s="13">
        <f t="shared" si="18"/>
        <v>6.5012103659528184E-2</v>
      </c>
      <c r="G433" s="3">
        <v>5199.45</v>
      </c>
      <c r="H433" s="19">
        <v>64</v>
      </c>
      <c r="I433" s="4">
        <f t="shared" si="19"/>
        <v>3.8053357728979893E-2</v>
      </c>
      <c r="M433" s="3">
        <v>5199.45</v>
      </c>
      <c r="N433" s="4">
        <v>3.96</v>
      </c>
      <c r="O433" s="4">
        <f t="shared" si="20"/>
        <v>2.9514503505282425E-2</v>
      </c>
    </row>
    <row r="434" spans="2:15" x14ac:dyDescent="0.3">
      <c r="B434" s="3">
        <v>3949.82</v>
      </c>
      <c r="C434" s="3">
        <v>2328.63</v>
      </c>
      <c r="D434" s="13">
        <f t="shared" si="18"/>
        <v>6.5012103659528184E-2</v>
      </c>
      <c r="G434" s="3">
        <v>3949.82</v>
      </c>
      <c r="H434" s="19">
        <v>25</v>
      </c>
      <c r="I434" s="4">
        <f t="shared" si="19"/>
        <v>3.8053357728979893E-2</v>
      </c>
      <c r="M434" s="3">
        <v>3949.82</v>
      </c>
      <c r="N434" s="4">
        <v>1.89</v>
      </c>
      <c r="O434" s="4">
        <f t="shared" si="20"/>
        <v>2.9514503505282425E-2</v>
      </c>
    </row>
    <row r="435" spans="2:15" x14ac:dyDescent="0.3">
      <c r="B435" s="3">
        <v>6792.57</v>
      </c>
      <c r="C435" s="3">
        <v>2164.15</v>
      </c>
      <c r="D435" s="13">
        <f t="shared" si="18"/>
        <v>6.5012103659528184E-2</v>
      </c>
      <c r="G435" s="3">
        <v>6792.57</v>
      </c>
      <c r="H435" s="19">
        <v>71</v>
      </c>
      <c r="I435" s="4">
        <f t="shared" si="19"/>
        <v>3.8053357728979893E-2</v>
      </c>
      <c r="M435" s="3">
        <v>6792.57</v>
      </c>
      <c r="N435" s="4">
        <v>3.57</v>
      </c>
      <c r="O435" s="4">
        <f t="shared" si="20"/>
        <v>2.9514503505282425E-2</v>
      </c>
    </row>
    <row r="436" spans="2:15" x14ac:dyDescent="0.3">
      <c r="B436" s="3">
        <v>2715.22</v>
      </c>
      <c r="C436" s="3">
        <v>1426.91</v>
      </c>
      <c r="D436" s="13">
        <f t="shared" si="18"/>
        <v>6.5012103659528184E-2</v>
      </c>
      <c r="G436" s="3">
        <v>2715.22</v>
      </c>
      <c r="H436" s="19">
        <v>57</v>
      </c>
      <c r="I436" s="4">
        <f t="shared" si="19"/>
        <v>3.8053357728979893E-2</v>
      </c>
      <c r="M436" s="3">
        <v>2715.22</v>
      </c>
      <c r="N436" s="4">
        <v>3.28</v>
      </c>
      <c r="O436" s="4">
        <f t="shared" si="20"/>
        <v>2.9514503505282425E-2</v>
      </c>
    </row>
    <row r="437" spans="2:15" x14ac:dyDescent="0.3">
      <c r="B437" s="3">
        <v>4161.62</v>
      </c>
      <c r="C437" s="3">
        <v>4644.97</v>
      </c>
      <c r="D437" s="13">
        <f t="shared" si="18"/>
        <v>6.5012103659528184E-2</v>
      </c>
      <c r="G437" s="3">
        <v>4161.62</v>
      </c>
      <c r="H437" s="19">
        <v>39</v>
      </c>
      <c r="I437" s="4">
        <f t="shared" si="19"/>
        <v>3.8053357728979893E-2</v>
      </c>
      <c r="M437" s="3">
        <v>4161.62</v>
      </c>
      <c r="N437" s="4">
        <v>3.27</v>
      </c>
      <c r="O437" s="4">
        <f t="shared" si="20"/>
        <v>2.9514503505282425E-2</v>
      </c>
    </row>
    <row r="438" spans="2:15" x14ac:dyDescent="0.3">
      <c r="B438" s="3">
        <v>5565.82</v>
      </c>
      <c r="C438" s="3">
        <v>2117.4299999999998</v>
      </c>
      <c r="D438" s="13">
        <f t="shared" si="18"/>
        <v>6.5012103659528184E-2</v>
      </c>
      <c r="G438" s="3">
        <v>5565.82</v>
      </c>
      <c r="H438" s="19">
        <v>21</v>
      </c>
      <c r="I438" s="4">
        <f t="shared" si="19"/>
        <v>3.8053357728979893E-2</v>
      </c>
      <c r="M438" s="3">
        <v>5565.82</v>
      </c>
      <c r="N438" s="4">
        <v>3.65</v>
      </c>
      <c r="O438" s="4">
        <f t="shared" si="20"/>
        <v>2.9514503505282425E-2</v>
      </c>
    </row>
    <row r="439" spans="2:15" x14ac:dyDescent="0.3">
      <c r="B439" s="3">
        <v>7348.29</v>
      </c>
      <c r="C439" s="3">
        <v>2823</v>
      </c>
      <c r="D439" s="13">
        <f t="shared" si="18"/>
        <v>6.5012103659528184E-2</v>
      </c>
      <c r="G439" s="3">
        <v>7348.29</v>
      </c>
      <c r="H439" s="19">
        <v>44</v>
      </c>
      <c r="I439" s="4">
        <f t="shared" si="19"/>
        <v>3.8053357728979893E-2</v>
      </c>
      <c r="M439" s="3">
        <v>7348.29</v>
      </c>
      <c r="N439" s="4">
        <v>3.19</v>
      </c>
      <c r="O439" s="4">
        <f t="shared" si="20"/>
        <v>2.9514503505282425E-2</v>
      </c>
    </row>
    <row r="440" spans="2:15" x14ac:dyDescent="0.3">
      <c r="B440" s="3">
        <v>4901.37</v>
      </c>
      <c r="C440" s="3">
        <v>2778.55</v>
      </c>
      <c r="D440" s="13">
        <f t="shared" si="18"/>
        <v>6.5012103659528184E-2</v>
      </c>
      <c r="G440" s="3">
        <v>4901.37</v>
      </c>
      <c r="H440" s="19">
        <v>20</v>
      </c>
      <c r="I440" s="4">
        <f t="shared" si="19"/>
        <v>3.8053357728979893E-2</v>
      </c>
      <c r="M440" s="3">
        <v>4901.37</v>
      </c>
      <c r="N440" s="4">
        <v>4.5199999999999996</v>
      </c>
      <c r="O440" s="4">
        <f t="shared" si="20"/>
        <v>2.9514503505282425E-2</v>
      </c>
    </row>
    <row r="441" spans="2:15" x14ac:dyDescent="0.3">
      <c r="B441" s="3">
        <v>4167.2</v>
      </c>
      <c r="C441" s="3">
        <v>3245.93</v>
      </c>
      <c r="D441" s="13">
        <f t="shared" si="18"/>
        <v>6.5012103659528184E-2</v>
      </c>
      <c r="G441" s="3">
        <v>4167.2</v>
      </c>
      <c r="H441" s="19">
        <v>73</v>
      </c>
      <c r="I441" s="4">
        <f t="shared" si="19"/>
        <v>3.8053357728979893E-2</v>
      </c>
      <c r="M441" s="3">
        <v>4167.2</v>
      </c>
      <c r="N441" s="4">
        <v>3.7</v>
      </c>
      <c r="O441" s="4">
        <f t="shared" si="20"/>
        <v>2.9514503505282425E-2</v>
      </c>
    </row>
    <row r="442" spans="2:15" x14ac:dyDescent="0.3">
      <c r="B442" s="3">
        <v>7821.74</v>
      </c>
      <c r="C442" s="3">
        <v>3652.59</v>
      </c>
      <c r="D442" s="13">
        <f t="shared" si="18"/>
        <v>6.5012103659528184E-2</v>
      </c>
      <c r="G442" s="3">
        <v>7821.74</v>
      </c>
      <c r="H442" s="19">
        <v>59</v>
      </c>
      <c r="I442" s="4">
        <f t="shared" si="19"/>
        <v>3.8053357728979893E-2</v>
      </c>
      <c r="M442" s="3">
        <v>7821.74</v>
      </c>
      <c r="N442" s="4">
        <v>3.19</v>
      </c>
      <c r="O442" s="4">
        <f t="shared" si="20"/>
        <v>2.9514503505282425E-2</v>
      </c>
    </row>
    <row r="443" spans="2:15" x14ac:dyDescent="0.3">
      <c r="B443" s="3">
        <v>2827.98</v>
      </c>
      <c r="C443" s="3">
        <v>3688.38</v>
      </c>
      <c r="D443" s="13">
        <f t="shared" si="18"/>
        <v>6.5012103659528184E-2</v>
      </c>
      <c r="G443" s="3">
        <v>2827.98</v>
      </c>
      <c r="H443" s="19">
        <v>94</v>
      </c>
      <c r="I443" s="4">
        <f t="shared" si="19"/>
        <v>3.8053357728979893E-2</v>
      </c>
      <c r="M443" s="3">
        <v>2827.98</v>
      </c>
      <c r="N443" s="4">
        <v>4.32</v>
      </c>
      <c r="O443" s="4">
        <f t="shared" si="20"/>
        <v>2.9514503505282425E-2</v>
      </c>
    </row>
    <row r="444" spans="2:15" x14ac:dyDescent="0.3">
      <c r="B444" s="3">
        <v>1701.79</v>
      </c>
      <c r="C444" s="3">
        <v>2533.54</v>
      </c>
      <c r="D444" s="13">
        <f t="shared" si="18"/>
        <v>6.5012103659528184E-2</v>
      </c>
      <c r="G444" s="3">
        <v>1701.79</v>
      </c>
      <c r="H444" s="19">
        <v>30</v>
      </c>
      <c r="I444" s="4">
        <f t="shared" si="19"/>
        <v>3.8053357728979893E-2</v>
      </c>
      <c r="M444" s="3">
        <v>1701.79</v>
      </c>
      <c r="N444" s="4">
        <v>3.42</v>
      </c>
      <c r="O444" s="4">
        <f t="shared" si="20"/>
        <v>2.9514503505282425E-2</v>
      </c>
    </row>
    <row r="445" spans="2:15" x14ac:dyDescent="0.3">
      <c r="B445" s="3">
        <v>5660.02</v>
      </c>
      <c r="C445" s="3">
        <v>2866.3</v>
      </c>
      <c r="D445" s="13">
        <f t="shared" si="18"/>
        <v>6.5012103659528184E-2</v>
      </c>
      <c r="G445" s="3">
        <v>5660.02</v>
      </c>
      <c r="H445" s="19">
        <v>78</v>
      </c>
      <c r="I445" s="4">
        <f t="shared" si="19"/>
        <v>3.8053357728979893E-2</v>
      </c>
      <c r="M445" s="3">
        <v>5660.02</v>
      </c>
      <c r="N445" s="4">
        <v>2.16</v>
      </c>
      <c r="O445" s="4">
        <f t="shared" si="20"/>
        <v>2.9514503505282425E-2</v>
      </c>
    </row>
    <row r="446" spans="2:15" x14ac:dyDescent="0.3">
      <c r="B446" s="3">
        <v>4246.92</v>
      </c>
      <c r="C446" s="3">
        <v>3226.06</v>
      </c>
      <c r="D446" s="13">
        <f t="shared" si="18"/>
        <v>6.5012103659528184E-2</v>
      </c>
      <c r="G446" s="3">
        <v>4246.92</v>
      </c>
      <c r="H446" s="19">
        <v>57</v>
      </c>
      <c r="I446" s="4">
        <f t="shared" si="19"/>
        <v>3.8053357728979893E-2</v>
      </c>
      <c r="M446" s="3">
        <v>4246.92</v>
      </c>
      <c r="N446" s="4">
        <v>1.83</v>
      </c>
      <c r="O446" s="4">
        <f t="shared" si="20"/>
        <v>2.9514503505282425E-2</v>
      </c>
    </row>
    <row r="447" spans="2:15" x14ac:dyDescent="0.3">
      <c r="B447" s="3">
        <v>3468.15</v>
      </c>
      <c r="C447" s="3">
        <v>2801.05</v>
      </c>
      <c r="D447" s="13">
        <f t="shared" si="18"/>
        <v>6.5012103659528184E-2</v>
      </c>
      <c r="G447" s="3">
        <v>3468.15</v>
      </c>
      <c r="H447" s="19">
        <v>29</v>
      </c>
      <c r="I447" s="4">
        <f t="shared" si="19"/>
        <v>3.8053357728979893E-2</v>
      </c>
      <c r="M447" s="3">
        <v>3468.15</v>
      </c>
      <c r="N447" s="4">
        <v>1.61</v>
      </c>
      <c r="O447" s="4">
        <f t="shared" si="20"/>
        <v>2.9514503505282425E-2</v>
      </c>
    </row>
    <row r="448" spans="2:15" x14ac:dyDescent="0.3">
      <c r="B448" s="3">
        <v>6062.53</v>
      </c>
      <c r="C448" s="3">
        <v>4285.88</v>
      </c>
      <c r="D448" s="13">
        <f t="shared" si="18"/>
        <v>6.5012103659528184E-2</v>
      </c>
      <c r="G448" s="3">
        <v>6062.53</v>
      </c>
      <c r="H448" s="19">
        <v>76</v>
      </c>
      <c r="I448" s="4">
        <f t="shared" si="19"/>
        <v>3.8053357728979893E-2</v>
      </c>
      <c r="M448" s="3">
        <v>6062.53</v>
      </c>
      <c r="N448" s="4">
        <v>4.5999999999999996</v>
      </c>
      <c r="O448" s="4">
        <f t="shared" si="20"/>
        <v>2.9514503505282425E-2</v>
      </c>
    </row>
    <row r="449" spans="2:15" x14ac:dyDescent="0.3">
      <c r="B449" s="3">
        <v>5365.7</v>
      </c>
      <c r="C449" s="3">
        <v>3392.78</v>
      </c>
      <c r="D449" s="13">
        <f t="shared" si="18"/>
        <v>6.5012103659528184E-2</v>
      </c>
      <c r="G449" s="3">
        <v>5365.7</v>
      </c>
      <c r="H449" s="19">
        <v>53</v>
      </c>
      <c r="I449" s="4">
        <f t="shared" si="19"/>
        <v>3.8053357728979893E-2</v>
      </c>
      <c r="M449" s="3">
        <v>5365.7</v>
      </c>
      <c r="N449" s="4">
        <v>3.84</v>
      </c>
      <c r="O449" s="4">
        <f t="shared" si="20"/>
        <v>2.9514503505282425E-2</v>
      </c>
    </row>
    <row r="450" spans="2:15" x14ac:dyDescent="0.3">
      <c r="B450" s="3">
        <v>4153.88</v>
      </c>
      <c r="C450" s="3">
        <v>3587.9</v>
      </c>
      <c r="D450" s="13">
        <f t="shared" si="18"/>
        <v>6.5012103659528184E-2</v>
      </c>
      <c r="G450" s="3">
        <v>4153.88</v>
      </c>
      <c r="H450" s="19">
        <v>42</v>
      </c>
      <c r="I450" s="4">
        <f t="shared" si="19"/>
        <v>3.8053357728979893E-2</v>
      </c>
      <c r="M450" s="3">
        <v>4153.88</v>
      </c>
      <c r="N450" s="4">
        <v>4.75</v>
      </c>
      <c r="O450" s="4">
        <f t="shared" si="20"/>
        <v>2.9514503505282425E-2</v>
      </c>
    </row>
    <row r="451" spans="2:15" x14ac:dyDescent="0.3">
      <c r="B451" s="3">
        <v>3079.54</v>
      </c>
      <c r="C451" s="3">
        <v>3530.31</v>
      </c>
      <c r="D451" s="13">
        <f t="shared" si="18"/>
        <v>6.5012103659528184E-2</v>
      </c>
      <c r="G451" s="3">
        <v>3079.54</v>
      </c>
      <c r="H451" s="19">
        <v>82</v>
      </c>
      <c r="I451" s="4">
        <f t="shared" si="19"/>
        <v>3.8053357728979893E-2</v>
      </c>
      <c r="M451" s="3">
        <v>3079.54</v>
      </c>
      <c r="N451" s="4">
        <v>3.41</v>
      </c>
      <c r="O451" s="4">
        <f t="shared" si="20"/>
        <v>2.9514503505282425E-2</v>
      </c>
    </row>
    <row r="452" spans="2:15" x14ac:dyDescent="0.3">
      <c r="B452" s="3">
        <v>6308.69</v>
      </c>
      <c r="C452" s="3">
        <v>3938.78</v>
      </c>
      <c r="D452" s="13">
        <f t="shared" si="18"/>
        <v>6.5012103659528184E-2</v>
      </c>
      <c r="G452" s="3">
        <v>6308.69</v>
      </c>
      <c r="H452" s="19">
        <v>70</v>
      </c>
      <c r="I452" s="4">
        <f t="shared" si="19"/>
        <v>3.8053357728979893E-2</v>
      </c>
      <c r="M452" s="3">
        <v>6308.69</v>
      </c>
      <c r="N452" s="4">
        <v>2.89</v>
      </c>
      <c r="O452" s="4">
        <f t="shared" si="20"/>
        <v>2.9514503505282425E-2</v>
      </c>
    </row>
    <row r="453" spans="2:15" x14ac:dyDescent="0.3">
      <c r="B453" s="3">
        <v>5975.3</v>
      </c>
      <c r="C453" s="3">
        <v>3144.82</v>
      </c>
      <c r="D453" s="13">
        <f t="shared" si="18"/>
        <v>6.5012103659528184E-2</v>
      </c>
      <c r="G453" s="3">
        <v>5975.3</v>
      </c>
      <c r="H453" s="19">
        <v>18</v>
      </c>
      <c r="I453" s="4">
        <f t="shared" si="19"/>
        <v>3.8053357728979893E-2</v>
      </c>
      <c r="M453" s="3">
        <v>5975.3</v>
      </c>
      <c r="N453" s="4">
        <v>1.24</v>
      </c>
      <c r="O453" s="4">
        <f t="shared" si="20"/>
        <v>2.9514503505282425E-2</v>
      </c>
    </row>
    <row r="454" spans="2:15" x14ac:dyDescent="0.3">
      <c r="B454" s="3">
        <v>4851.24</v>
      </c>
      <c r="C454" s="3">
        <v>1962.53</v>
      </c>
      <c r="D454" s="13">
        <f t="shared" ref="D454:D504" si="21">CORREL(B:B,C:C)</f>
        <v>6.5012103659528184E-2</v>
      </c>
      <c r="G454" s="3">
        <v>4851.24</v>
      </c>
      <c r="H454" s="19">
        <v>77</v>
      </c>
      <c r="I454" s="4">
        <f t="shared" ref="I454:I504" si="22">CORREL(G:G,H:H)</f>
        <v>3.8053357728979893E-2</v>
      </c>
      <c r="M454" s="3">
        <v>4851.24</v>
      </c>
      <c r="N454" s="4">
        <v>3.69</v>
      </c>
      <c r="O454" s="4">
        <f t="shared" ref="O454:O504" si="23">CORREL(M:M,N:N)</f>
        <v>2.9514503505282425E-2</v>
      </c>
    </row>
    <row r="455" spans="2:15" x14ac:dyDescent="0.3">
      <c r="B455" s="3">
        <v>7769.96</v>
      </c>
      <c r="C455" s="3">
        <v>3319.75</v>
      </c>
      <c r="D455" s="13">
        <f t="shared" si="21"/>
        <v>6.5012103659528184E-2</v>
      </c>
      <c r="G455" s="3">
        <v>7769.96</v>
      </c>
      <c r="H455" s="19">
        <v>44</v>
      </c>
      <c r="I455" s="4">
        <f t="shared" si="22"/>
        <v>3.8053357728979893E-2</v>
      </c>
      <c r="M455" s="3">
        <v>7769.96</v>
      </c>
      <c r="N455" s="4">
        <v>3.33</v>
      </c>
      <c r="O455" s="4">
        <f t="shared" si="23"/>
        <v>2.9514503505282425E-2</v>
      </c>
    </row>
    <row r="456" spans="2:15" x14ac:dyDescent="0.3">
      <c r="B456" s="3">
        <v>3394.87</v>
      </c>
      <c r="C456" s="3">
        <v>2478.91</v>
      </c>
      <c r="D456" s="13">
        <f t="shared" si="21"/>
        <v>6.5012103659528184E-2</v>
      </c>
      <c r="G456" s="3">
        <v>3394.87</v>
      </c>
      <c r="H456" s="19">
        <v>90</v>
      </c>
      <c r="I456" s="4">
        <f t="shared" si="22"/>
        <v>3.8053357728979893E-2</v>
      </c>
      <c r="M456" s="3">
        <v>3394.87</v>
      </c>
      <c r="N456" s="4">
        <v>4.96</v>
      </c>
      <c r="O456" s="4">
        <f t="shared" si="23"/>
        <v>2.9514503505282425E-2</v>
      </c>
    </row>
    <row r="457" spans="2:15" x14ac:dyDescent="0.3">
      <c r="B457" s="3">
        <v>2711.71</v>
      </c>
      <c r="C457" s="3">
        <v>2577.11</v>
      </c>
      <c r="D457" s="13">
        <f t="shared" si="21"/>
        <v>6.5012103659528184E-2</v>
      </c>
      <c r="G457" s="3">
        <v>2711.71</v>
      </c>
      <c r="H457" s="19">
        <v>97</v>
      </c>
      <c r="I457" s="4">
        <f t="shared" si="22"/>
        <v>3.8053357728979893E-2</v>
      </c>
      <c r="M457" s="3">
        <v>2711.71</v>
      </c>
      <c r="N457" s="4">
        <v>1.96</v>
      </c>
      <c r="O457" s="4">
        <f t="shared" si="23"/>
        <v>2.9514503505282425E-2</v>
      </c>
    </row>
    <row r="458" spans="2:15" x14ac:dyDescent="0.3">
      <c r="B458" s="3">
        <v>3962.14</v>
      </c>
      <c r="C458" s="3">
        <v>3469.09</v>
      </c>
      <c r="D458" s="13">
        <f t="shared" si="21"/>
        <v>6.5012103659528184E-2</v>
      </c>
      <c r="G458" s="3">
        <v>3962.14</v>
      </c>
      <c r="H458" s="19">
        <v>74</v>
      </c>
      <c r="I458" s="4">
        <f t="shared" si="22"/>
        <v>3.8053357728979893E-2</v>
      </c>
      <c r="M458" s="3">
        <v>3962.14</v>
      </c>
      <c r="N458" s="4">
        <v>3.12</v>
      </c>
      <c r="O458" s="4">
        <f t="shared" si="23"/>
        <v>2.9514503505282425E-2</v>
      </c>
    </row>
    <row r="459" spans="2:15" x14ac:dyDescent="0.3">
      <c r="B459" s="3">
        <v>4931.62</v>
      </c>
      <c r="C459" s="3">
        <v>3990.63</v>
      </c>
      <c r="D459" s="13">
        <f t="shared" si="21"/>
        <v>6.5012103659528184E-2</v>
      </c>
      <c r="G459" s="3">
        <v>4931.62</v>
      </c>
      <c r="H459" s="19">
        <v>17</v>
      </c>
      <c r="I459" s="4">
        <f t="shared" si="22"/>
        <v>3.8053357728979893E-2</v>
      </c>
      <c r="M459" s="3">
        <v>4931.62</v>
      </c>
      <c r="N459" s="4">
        <v>3.6</v>
      </c>
      <c r="O459" s="4">
        <f t="shared" si="23"/>
        <v>2.9514503505282425E-2</v>
      </c>
    </row>
    <row r="460" spans="2:15" x14ac:dyDescent="0.3">
      <c r="B460" s="3">
        <v>5365.01</v>
      </c>
      <c r="C460" s="3">
        <v>3017.02</v>
      </c>
      <c r="D460" s="13">
        <f t="shared" si="21"/>
        <v>6.5012103659528184E-2</v>
      </c>
      <c r="G460" s="3">
        <v>5365.01</v>
      </c>
      <c r="H460" s="19">
        <v>54</v>
      </c>
      <c r="I460" s="4">
        <f t="shared" si="22"/>
        <v>3.8053357728979893E-2</v>
      </c>
      <c r="M460" s="3">
        <v>5365.01</v>
      </c>
      <c r="N460" s="4">
        <v>3.58</v>
      </c>
      <c r="O460" s="4">
        <f t="shared" si="23"/>
        <v>2.9514503505282425E-2</v>
      </c>
    </row>
    <row r="461" spans="2:15" x14ac:dyDescent="0.3">
      <c r="B461" s="3">
        <v>4638.1499999999996</v>
      </c>
      <c r="C461" s="3">
        <v>3247.07</v>
      </c>
      <c r="D461" s="13">
        <f t="shared" si="21"/>
        <v>6.5012103659528184E-2</v>
      </c>
      <c r="G461" s="3">
        <v>4638.1499999999996</v>
      </c>
      <c r="H461" s="19">
        <v>96</v>
      </c>
      <c r="I461" s="4">
        <f t="shared" si="22"/>
        <v>3.8053357728979893E-2</v>
      </c>
      <c r="M461" s="3">
        <v>4638.1499999999996</v>
      </c>
      <c r="N461" s="4">
        <v>3.25</v>
      </c>
      <c r="O461" s="4">
        <f t="shared" si="23"/>
        <v>2.9514503505282425E-2</v>
      </c>
    </row>
    <row r="462" spans="2:15" x14ac:dyDescent="0.3">
      <c r="B462" s="3">
        <v>5528.08</v>
      </c>
      <c r="C462" s="3">
        <v>4361.7700000000004</v>
      </c>
      <c r="D462" s="13">
        <f t="shared" si="21"/>
        <v>6.5012103659528184E-2</v>
      </c>
      <c r="G462" s="3">
        <v>5528.08</v>
      </c>
      <c r="H462" s="19">
        <v>56</v>
      </c>
      <c r="I462" s="4">
        <f t="shared" si="22"/>
        <v>3.8053357728979893E-2</v>
      </c>
      <c r="M462" s="3">
        <v>5528.08</v>
      </c>
      <c r="N462" s="4">
        <v>4.1100000000000003</v>
      </c>
      <c r="O462" s="4">
        <f t="shared" si="23"/>
        <v>2.9514503505282425E-2</v>
      </c>
    </row>
    <row r="463" spans="2:15" x14ac:dyDescent="0.3">
      <c r="B463" s="3">
        <v>3122.69</v>
      </c>
      <c r="C463" s="3">
        <v>3192.6</v>
      </c>
      <c r="D463" s="13">
        <f t="shared" si="21"/>
        <v>6.5012103659528184E-2</v>
      </c>
      <c r="G463" s="3">
        <v>3122.69</v>
      </c>
      <c r="H463" s="19">
        <v>49</v>
      </c>
      <c r="I463" s="4">
        <f t="shared" si="22"/>
        <v>3.8053357728979893E-2</v>
      </c>
      <c r="M463" s="3">
        <v>3122.69</v>
      </c>
      <c r="N463" s="4">
        <v>1.82</v>
      </c>
      <c r="O463" s="4">
        <f t="shared" si="23"/>
        <v>2.9514503505282425E-2</v>
      </c>
    </row>
    <row r="464" spans="2:15" x14ac:dyDescent="0.3">
      <c r="B464" s="3">
        <v>7165.65</v>
      </c>
      <c r="C464" s="3">
        <v>5081.3500000000004</v>
      </c>
      <c r="D464" s="13">
        <f t="shared" si="21"/>
        <v>6.5012103659528184E-2</v>
      </c>
      <c r="G464" s="3">
        <v>7165.65</v>
      </c>
      <c r="H464" s="19">
        <v>85</v>
      </c>
      <c r="I464" s="4">
        <f t="shared" si="22"/>
        <v>3.8053357728979893E-2</v>
      </c>
      <c r="M464" s="3">
        <v>7165.65</v>
      </c>
      <c r="N464" s="4">
        <v>3.9</v>
      </c>
      <c r="O464" s="4">
        <f t="shared" si="23"/>
        <v>2.9514503505282425E-2</v>
      </c>
    </row>
    <row r="465" spans="2:15" x14ac:dyDescent="0.3">
      <c r="B465" s="3">
        <v>4876.7700000000004</v>
      </c>
      <c r="C465" s="3">
        <v>3452.41</v>
      </c>
      <c r="D465" s="13">
        <f t="shared" si="21"/>
        <v>6.5012103659528184E-2</v>
      </c>
      <c r="G465" s="3">
        <v>4876.7700000000004</v>
      </c>
      <c r="H465" s="19">
        <v>63</v>
      </c>
      <c r="I465" s="4">
        <f t="shared" si="22"/>
        <v>3.8053357728979893E-2</v>
      </c>
      <c r="M465" s="3">
        <v>4876.7700000000004</v>
      </c>
      <c r="N465" s="4">
        <v>3.48</v>
      </c>
      <c r="O465" s="4">
        <f t="shared" si="23"/>
        <v>2.9514503505282425E-2</v>
      </c>
    </row>
    <row r="466" spans="2:15" x14ac:dyDescent="0.3">
      <c r="B466" s="3">
        <v>6675.94</v>
      </c>
      <c r="C466" s="3">
        <v>1591.39</v>
      </c>
      <c r="D466" s="13">
        <f t="shared" si="21"/>
        <v>6.5012103659528184E-2</v>
      </c>
      <c r="G466" s="3">
        <v>6675.94</v>
      </c>
      <c r="H466" s="19">
        <v>85</v>
      </c>
      <c r="I466" s="4">
        <f t="shared" si="22"/>
        <v>3.8053357728979893E-2</v>
      </c>
      <c r="M466" s="3">
        <v>6675.94</v>
      </c>
      <c r="N466" s="4">
        <v>4.58</v>
      </c>
      <c r="O466" s="4">
        <f t="shared" si="23"/>
        <v>2.9514503505282425E-2</v>
      </c>
    </row>
    <row r="467" spans="2:15" x14ac:dyDescent="0.3">
      <c r="B467" s="3">
        <v>5514.09</v>
      </c>
      <c r="C467" s="3">
        <v>3602.67</v>
      </c>
      <c r="D467" s="13">
        <f t="shared" si="21"/>
        <v>6.5012103659528184E-2</v>
      </c>
      <c r="G467" s="3">
        <v>5514.09</v>
      </c>
      <c r="H467" s="19">
        <v>55</v>
      </c>
      <c r="I467" s="4">
        <f t="shared" si="22"/>
        <v>3.8053357728979893E-2</v>
      </c>
      <c r="M467" s="3">
        <v>5514.09</v>
      </c>
      <c r="N467" s="4">
        <v>4.3899999999999997</v>
      </c>
      <c r="O467" s="4">
        <f t="shared" si="23"/>
        <v>2.9514503505282425E-2</v>
      </c>
    </row>
    <row r="468" spans="2:15" x14ac:dyDescent="0.3">
      <c r="B468" s="3">
        <v>5685.13</v>
      </c>
      <c r="C468" s="3">
        <v>3304.93</v>
      </c>
      <c r="D468" s="13">
        <f t="shared" si="21"/>
        <v>6.5012103659528184E-2</v>
      </c>
      <c r="G468" s="3">
        <v>5685.13</v>
      </c>
      <c r="H468" s="19">
        <v>56</v>
      </c>
      <c r="I468" s="4">
        <f t="shared" si="22"/>
        <v>3.8053357728979893E-2</v>
      </c>
      <c r="M468" s="3">
        <v>5685.13</v>
      </c>
      <c r="N468" s="4">
        <v>2.2599999999999998</v>
      </c>
      <c r="O468" s="4">
        <f t="shared" si="23"/>
        <v>2.9514503505282425E-2</v>
      </c>
    </row>
    <row r="469" spans="2:15" x14ac:dyDescent="0.3">
      <c r="B469" s="3">
        <v>5854.65</v>
      </c>
      <c r="C469" s="3">
        <v>4031.8</v>
      </c>
      <c r="D469" s="13">
        <f t="shared" si="21"/>
        <v>6.5012103659528184E-2</v>
      </c>
      <c r="G469" s="3">
        <v>5854.65</v>
      </c>
      <c r="H469" s="19">
        <v>24</v>
      </c>
      <c r="I469" s="4">
        <f t="shared" si="22"/>
        <v>3.8053357728979893E-2</v>
      </c>
      <c r="M469" s="3">
        <v>5854.65</v>
      </c>
      <c r="N469" s="4">
        <v>2.1</v>
      </c>
      <c r="O469" s="4">
        <f t="shared" si="23"/>
        <v>2.9514503505282425E-2</v>
      </c>
    </row>
    <row r="470" spans="2:15" x14ac:dyDescent="0.3">
      <c r="B470" s="3">
        <v>5671.56</v>
      </c>
      <c r="C470" s="3">
        <v>3538.55</v>
      </c>
      <c r="D470" s="13">
        <f t="shared" si="21"/>
        <v>6.5012103659528184E-2</v>
      </c>
      <c r="G470" s="3">
        <v>5671.56</v>
      </c>
      <c r="H470" s="19">
        <v>28</v>
      </c>
      <c r="I470" s="4">
        <f t="shared" si="22"/>
        <v>3.8053357728979893E-2</v>
      </c>
      <c r="M470" s="3">
        <v>5671.56</v>
      </c>
      <c r="N470" s="4">
        <v>4.93</v>
      </c>
      <c r="O470" s="4">
        <f t="shared" si="23"/>
        <v>2.9514503505282425E-2</v>
      </c>
    </row>
    <row r="471" spans="2:15" x14ac:dyDescent="0.3">
      <c r="B471" s="3">
        <v>5964.08</v>
      </c>
      <c r="C471" s="3">
        <v>2889.24</v>
      </c>
      <c r="D471" s="13">
        <f t="shared" si="21"/>
        <v>6.5012103659528184E-2</v>
      </c>
      <c r="G471" s="3">
        <v>5964.08</v>
      </c>
      <c r="H471" s="19">
        <v>35</v>
      </c>
      <c r="I471" s="4">
        <f t="shared" si="22"/>
        <v>3.8053357728979893E-2</v>
      </c>
      <c r="M471" s="3">
        <v>5964.08</v>
      </c>
      <c r="N471" s="4">
        <v>3.11</v>
      </c>
      <c r="O471" s="4">
        <f t="shared" si="23"/>
        <v>2.9514503505282425E-2</v>
      </c>
    </row>
    <row r="472" spans="2:15" x14ac:dyDescent="0.3">
      <c r="B472" s="3">
        <v>6993.73</v>
      </c>
      <c r="C472" s="3">
        <v>2020.56</v>
      </c>
      <c r="D472" s="13">
        <f t="shared" si="21"/>
        <v>6.5012103659528184E-2</v>
      </c>
      <c r="G472" s="3">
        <v>6993.73</v>
      </c>
      <c r="H472" s="19">
        <v>61</v>
      </c>
      <c r="I472" s="4">
        <f t="shared" si="22"/>
        <v>3.8053357728979893E-2</v>
      </c>
      <c r="M472" s="3">
        <v>6993.73</v>
      </c>
      <c r="N472" s="4">
        <v>4.63</v>
      </c>
      <c r="O472" s="4">
        <f t="shared" si="23"/>
        <v>2.9514503505282425E-2</v>
      </c>
    </row>
    <row r="473" spans="2:15" x14ac:dyDescent="0.3">
      <c r="B473" s="3">
        <v>5294.78</v>
      </c>
      <c r="C473" s="3">
        <v>2832.78</v>
      </c>
      <c r="D473" s="13">
        <f t="shared" si="21"/>
        <v>6.5012103659528184E-2</v>
      </c>
      <c r="G473" s="3">
        <v>5294.78</v>
      </c>
      <c r="H473" s="19">
        <v>31</v>
      </c>
      <c r="I473" s="4">
        <f t="shared" si="22"/>
        <v>3.8053357728979893E-2</v>
      </c>
      <c r="M473" s="3">
        <v>5294.78</v>
      </c>
      <c r="N473" s="4">
        <v>1.66</v>
      </c>
      <c r="O473" s="4">
        <f t="shared" si="23"/>
        <v>2.9514503505282425E-2</v>
      </c>
    </row>
    <row r="474" spans="2:15" x14ac:dyDescent="0.3">
      <c r="B474" s="3">
        <v>6063.51</v>
      </c>
      <c r="C474" s="3">
        <v>2319.58</v>
      </c>
      <c r="D474" s="13">
        <f t="shared" si="21"/>
        <v>6.5012103659528184E-2</v>
      </c>
      <c r="G474" s="3">
        <v>6063.51</v>
      </c>
      <c r="H474" s="19">
        <v>30</v>
      </c>
      <c r="I474" s="4">
        <f t="shared" si="22"/>
        <v>3.8053357728979893E-2</v>
      </c>
      <c r="M474" s="3">
        <v>6063.51</v>
      </c>
      <c r="N474" s="4">
        <v>3.57</v>
      </c>
      <c r="O474" s="4">
        <f t="shared" si="23"/>
        <v>2.9514503505282425E-2</v>
      </c>
    </row>
    <row r="475" spans="2:15" x14ac:dyDescent="0.3">
      <c r="B475" s="3">
        <v>4865.3999999999996</v>
      </c>
      <c r="C475" s="3">
        <v>2535.58</v>
      </c>
      <c r="D475" s="13">
        <f t="shared" si="21"/>
        <v>6.5012103659528184E-2</v>
      </c>
      <c r="G475" s="3">
        <v>4865.3999999999996</v>
      </c>
      <c r="H475" s="19">
        <v>60</v>
      </c>
      <c r="I475" s="4">
        <f t="shared" si="22"/>
        <v>3.8053357728979893E-2</v>
      </c>
      <c r="M475" s="3">
        <v>4865.3999999999996</v>
      </c>
      <c r="N475" s="4">
        <v>4.24</v>
      </c>
      <c r="O475" s="4">
        <f t="shared" si="23"/>
        <v>2.9514503505282425E-2</v>
      </c>
    </row>
    <row r="476" spans="2:15" x14ac:dyDescent="0.3">
      <c r="B476" s="3">
        <v>7160.18</v>
      </c>
      <c r="C476" s="3">
        <v>3470.86</v>
      </c>
      <c r="D476" s="13">
        <f t="shared" si="21"/>
        <v>6.5012103659528184E-2</v>
      </c>
      <c r="G476" s="3">
        <v>7160.18</v>
      </c>
      <c r="H476" s="19">
        <v>47</v>
      </c>
      <c r="I476" s="4">
        <f t="shared" si="22"/>
        <v>3.8053357728979893E-2</v>
      </c>
      <c r="M476" s="3">
        <v>7160.18</v>
      </c>
      <c r="N476" s="4">
        <v>4.79</v>
      </c>
      <c r="O476" s="4">
        <f t="shared" si="23"/>
        <v>2.9514503505282425E-2</v>
      </c>
    </row>
    <row r="477" spans="2:15" x14ac:dyDescent="0.3">
      <c r="B477" s="3">
        <v>3985.41</v>
      </c>
      <c r="C477" s="3">
        <v>4335.92</v>
      </c>
      <c r="D477" s="13">
        <f t="shared" si="21"/>
        <v>6.5012103659528184E-2</v>
      </c>
      <c r="G477" s="3">
        <v>3985.41</v>
      </c>
      <c r="H477" s="19">
        <v>29</v>
      </c>
      <c r="I477" s="4">
        <f t="shared" si="22"/>
        <v>3.8053357728979893E-2</v>
      </c>
      <c r="M477" s="3">
        <v>3985.41</v>
      </c>
      <c r="N477" s="4">
        <v>2.35</v>
      </c>
      <c r="O477" s="4">
        <f t="shared" si="23"/>
        <v>2.9514503505282425E-2</v>
      </c>
    </row>
    <row r="478" spans="2:15" x14ac:dyDescent="0.3">
      <c r="B478" s="3">
        <v>7701.41</v>
      </c>
      <c r="C478" s="3">
        <v>3315.74</v>
      </c>
      <c r="D478" s="13">
        <f t="shared" si="21"/>
        <v>6.5012103659528184E-2</v>
      </c>
      <c r="G478" s="3">
        <v>7701.41</v>
      </c>
      <c r="H478" s="19">
        <v>38</v>
      </c>
      <c r="I478" s="4">
        <f t="shared" si="22"/>
        <v>3.8053357728979893E-2</v>
      </c>
      <c r="M478" s="3">
        <v>7701.41</v>
      </c>
      <c r="N478" s="4">
        <v>3.9</v>
      </c>
      <c r="O478" s="4">
        <f t="shared" si="23"/>
        <v>2.9514503505282425E-2</v>
      </c>
    </row>
    <row r="479" spans="2:15" x14ac:dyDescent="0.3">
      <c r="B479" s="3">
        <v>4939.76</v>
      </c>
      <c r="C479" s="3">
        <v>2043.29</v>
      </c>
      <c r="D479" s="13">
        <f t="shared" si="21"/>
        <v>6.5012103659528184E-2</v>
      </c>
      <c r="G479" s="3">
        <v>4939.76</v>
      </c>
      <c r="H479" s="19">
        <v>60</v>
      </c>
      <c r="I479" s="4">
        <f t="shared" si="22"/>
        <v>3.8053357728979893E-2</v>
      </c>
      <c r="M479" s="3">
        <v>4939.76</v>
      </c>
      <c r="N479" s="4">
        <v>3.16</v>
      </c>
      <c r="O479" s="4">
        <f t="shared" si="23"/>
        <v>2.9514503505282425E-2</v>
      </c>
    </row>
    <row r="480" spans="2:15" x14ac:dyDescent="0.3">
      <c r="B480" s="3">
        <v>2853.84</v>
      </c>
      <c r="C480" s="3">
        <v>3355.68</v>
      </c>
      <c r="D480" s="13">
        <f t="shared" si="21"/>
        <v>6.5012103659528184E-2</v>
      </c>
      <c r="G480" s="3">
        <v>2853.84</v>
      </c>
      <c r="H480" s="19">
        <v>13</v>
      </c>
      <c r="I480" s="4">
        <f t="shared" si="22"/>
        <v>3.8053357728979893E-2</v>
      </c>
      <c r="M480" s="3">
        <v>2853.84</v>
      </c>
      <c r="N480" s="4">
        <v>1.24</v>
      </c>
      <c r="O480" s="4">
        <f t="shared" si="23"/>
        <v>2.9514503505282425E-2</v>
      </c>
    </row>
    <row r="481" spans="2:15" x14ac:dyDescent="0.3">
      <c r="B481" s="3">
        <v>5192.16</v>
      </c>
      <c r="C481" s="3">
        <v>3957.31</v>
      </c>
      <c r="D481" s="13">
        <f t="shared" si="21"/>
        <v>6.5012103659528184E-2</v>
      </c>
      <c r="G481" s="3">
        <v>5192.16</v>
      </c>
      <c r="H481" s="19">
        <v>64</v>
      </c>
      <c r="I481" s="4">
        <f t="shared" si="22"/>
        <v>3.8053357728979893E-2</v>
      </c>
      <c r="M481" s="3">
        <v>5192.16</v>
      </c>
      <c r="N481" s="4">
        <v>3.76</v>
      </c>
      <c r="O481" s="4">
        <f t="shared" si="23"/>
        <v>2.9514503505282425E-2</v>
      </c>
    </row>
    <row r="482" spans="2:15" x14ac:dyDescent="0.3">
      <c r="B482" s="3">
        <v>3978.42</v>
      </c>
      <c r="C482" s="3">
        <v>2512.17</v>
      </c>
      <c r="D482" s="13">
        <f t="shared" si="21"/>
        <v>6.5012103659528184E-2</v>
      </c>
      <c r="G482" s="3">
        <v>3978.42</v>
      </c>
      <c r="H482" s="19">
        <v>80</v>
      </c>
      <c r="I482" s="4">
        <f t="shared" si="22"/>
        <v>3.8053357728979893E-2</v>
      </c>
      <c r="M482" s="3">
        <v>3978.42</v>
      </c>
      <c r="N482" s="4">
        <v>3.76</v>
      </c>
      <c r="O482" s="4">
        <f t="shared" si="23"/>
        <v>2.9514503505282425E-2</v>
      </c>
    </row>
    <row r="483" spans="2:15" x14ac:dyDescent="0.3">
      <c r="B483" s="3">
        <v>6260.97</v>
      </c>
      <c r="C483" s="3">
        <v>2892.79</v>
      </c>
      <c r="D483" s="13">
        <f t="shared" si="21"/>
        <v>6.5012103659528184E-2</v>
      </c>
      <c r="G483" s="3">
        <v>6260.97</v>
      </c>
      <c r="H483" s="19">
        <v>37</v>
      </c>
      <c r="I483" s="4">
        <f t="shared" si="22"/>
        <v>3.8053357728979893E-2</v>
      </c>
      <c r="M483" s="3">
        <v>6260.97</v>
      </c>
      <c r="N483" s="4">
        <v>4.72</v>
      </c>
      <c r="O483" s="4">
        <f t="shared" si="23"/>
        <v>2.9514503505282425E-2</v>
      </c>
    </row>
    <row r="484" spans="2:15" x14ac:dyDescent="0.3">
      <c r="B484" s="3">
        <v>4021.06</v>
      </c>
      <c r="C484" s="3">
        <v>3011.75</v>
      </c>
      <c r="D484" s="13">
        <f t="shared" si="21"/>
        <v>6.5012103659528184E-2</v>
      </c>
      <c r="G484" s="3">
        <v>4021.06</v>
      </c>
      <c r="H484" s="19">
        <v>13</v>
      </c>
      <c r="I484" s="4">
        <f t="shared" si="22"/>
        <v>3.8053357728979893E-2</v>
      </c>
      <c r="M484" s="3">
        <v>4021.06</v>
      </c>
      <c r="N484" s="4">
        <v>2.99</v>
      </c>
      <c r="O484" s="4">
        <f t="shared" si="23"/>
        <v>2.9514503505282425E-2</v>
      </c>
    </row>
    <row r="485" spans="2:15" x14ac:dyDescent="0.3">
      <c r="B485" s="3">
        <v>4330.72</v>
      </c>
      <c r="C485" s="3">
        <v>2372.08</v>
      </c>
      <c r="D485" s="13">
        <f t="shared" si="21"/>
        <v>6.5012103659528184E-2</v>
      </c>
      <c r="G485" s="3">
        <v>4330.72</v>
      </c>
      <c r="H485" s="19">
        <v>31</v>
      </c>
      <c r="I485" s="4">
        <f t="shared" si="22"/>
        <v>3.8053357728979893E-2</v>
      </c>
      <c r="M485" s="3">
        <v>4330.72</v>
      </c>
      <c r="N485" s="4">
        <v>1.92</v>
      </c>
      <c r="O485" s="4">
        <f t="shared" si="23"/>
        <v>2.9514503505282425E-2</v>
      </c>
    </row>
    <row r="486" spans="2:15" x14ac:dyDescent="0.3">
      <c r="B486" s="3">
        <v>2165.69</v>
      </c>
      <c r="C486" s="3">
        <v>3518.62</v>
      </c>
      <c r="D486" s="13">
        <f t="shared" si="21"/>
        <v>6.5012103659528184E-2</v>
      </c>
      <c r="G486" s="3">
        <v>2165.69</v>
      </c>
      <c r="H486" s="19">
        <v>85</v>
      </c>
      <c r="I486" s="4">
        <f t="shared" si="22"/>
        <v>3.8053357728979893E-2</v>
      </c>
      <c r="M486" s="3">
        <v>2165.69</v>
      </c>
      <c r="N486" s="4">
        <v>1.18</v>
      </c>
      <c r="O486" s="4">
        <f t="shared" si="23"/>
        <v>2.9514503505282425E-2</v>
      </c>
    </row>
    <row r="487" spans="2:15" x14ac:dyDescent="0.3">
      <c r="B487" s="3">
        <v>4321.54</v>
      </c>
      <c r="C487" s="3">
        <v>2903.24</v>
      </c>
      <c r="D487" s="13">
        <f t="shared" si="21"/>
        <v>6.5012103659528184E-2</v>
      </c>
      <c r="G487" s="3">
        <v>4321.54</v>
      </c>
      <c r="H487" s="19">
        <v>54</v>
      </c>
      <c r="I487" s="4">
        <f t="shared" si="22"/>
        <v>3.8053357728979893E-2</v>
      </c>
      <c r="M487" s="3">
        <v>4321.54</v>
      </c>
      <c r="N487" s="4">
        <v>2.66</v>
      </c>
      <c r="O487" s="4">
        <f t="shared" si="23"/>
        <v>2.9514503505282425E-2</v>
      </c>
    </row>
    <row r="488" spans="2:15" x14ac:dyDescent="0.3">
      <c r="B488" s="3">
        <v>1364.18</v>
      </c>
      <c r="C488" s="3">
        <v>3335.63</v>
      </c>
      <c r="D488" s="13">
        <f t="shared" si="21"/>
        <v>6.5012103659528184E-2</v>
      </c>
      <c r="G488" s="3">
        <v>1364.18</v>
      </c>
      <c r="H488" s="19">
        <v>76</v>
      </c>
      <c r="I488" s="4">
        <f t="shared" si="22"/>
        <v>3.8053357728979893E-2</v>
      </c>
      <c r="M488" s="3">
        <v>1364.18</v>
      </c>
      <c r="N488" s="4">
        <v>2.21</v>
      </c>
      <c r="O488" s="4">
        <f t="shared" si="23"/>
        <v>2.9514503505282425E-2</v>
      </c>
    </row>
    <row r="489" spans="2:15" x14ac:dyDescent="0.3">
      <c r="B489" s="3">
        <v>2624.15</v>
      </c>
      <c r="C489" s="3">
        <v>2290.0100000000002</v>
      </c>
      <c r="D489" s="13">
        <f t="shared" si="21"/>
        <v>6.5012103659528184E-2</v>
      </c>
      <c r="G489" s="3">
        <v>2624.15</v>
      </c>
      <c r="H489" s="19">
        <v>95</v>
      </c>
      <c r="I489" s="4">
        <f t="shared" si="22"/>
        <v>3.8053357728979893E-2</v>
      </c>
      <c r="M489" s="3">
        <v>2624.15</v>
      </c>
      <c r="N489" s="4">
        <v>4.04</v>
      </c>
      <c r="O489" s="4">
        <f t="shared" si="23"/>
        <v>2.9514503505282425E-2</v>
      </c>
    </row>
    <row r="490" spans="2:15" x14ac:dyDescent="0.3">
      <c r="B490" s="3">
        <v>6140.62</v>
      </c>
      <c r="C490" s="3">
        <v>2650.03</v>
      </c>
      <c r="D490" s="13">
        <f t="shared" si="21"/>
        <v>6.5012103659528184E-2</v>
      </c>
      <c r="G490" s="3">
        <v>6140.62</v>
      </c>
      <c r="H490" s="19">
        <v>75</v>
      </c>
      <c r="I490" s="4">
        <f t="shared" si="22"/>
        <v>3.8053357728979893E-2</v>
      </c>
      <c r="M490" s="3">
        <v>6140.62</v>
      </c>
      <c r="N490" s="4">
        <v>2.42</v>
      </c>
      <c r="O490" s="4">
        <f t="shared" si="23"/>
        <v>2.9514503505282425E-2</v>
      </c>
    </row>
    <row r="491" spans="2:15" x14ac:dyDescent="0.3">
      <c r="B491" s="3">
        <v>6178.7</v>
      </c>
      <c r="C491" s="3">
        <v>3577.91</v>
      </c>
      <c r="D491" s="13">
        <f t="shared" si="21"/>
        <v>6.5012103659528184E-2</v>
      </c>
      <c r="G491" s="3">
        <v>6178.7</v>
      </c>
      <c r="H491" s="19">
        <v>97</v>
      </c>
      <c r="I491" s="4">
        <f t="shared" si="22"/>
        <v>3.8053357728979893E-2</v>
      </c>
      <c r="M491" s="3">
        <v>6178.7</v>
      </c>
      <c r="N491" s="4">
        <v>4.8</v>
      </c>
      <c r="O491" s="4">
        <f t="shared" si="23"/>
        <v>2.9514503505282425E-2</v>
      </c>
    </row>
    <row r="492" spans="2:15" x14ac:dyDescent="0.3">
      <c r="B492" s="3">
        <v>5638.19</v>
      </c>
      <c r="C492" s="3">
        <v>2701.73</v>
      </c>
      <c r="D492" s="13">
        <f t="shared" si="21"/>
        <v>6.5012103659528184E-2</v>
      </c>
      <c r="G492" s="3">
        <v>5638.19</v>
      </c>
      <c r="H492" s="19">
        <v>43</v>
      </c>
      <c r="I492" s="4">
        <f t="shared" si="22"/>
        <v>3.8053357728979893E-2</v>
      </c>
      <c r="M492" s="3">
        <v>5638.19</v>
      </c>
      <c r="N492" s="4">
        <v>4.8499999999999996</v>
      </c>
      <c r="O492" s="4">
        <f t="shared" si="23"/>
        <v>2.9514503505282425E-2</v>
      </c>
    </row>
    <row r="493" spans="2:15" x14ac:dyDescent="0.3">
      <c r="B493" s="3">
        <v>3549.54</v>
      </c>
      <c r="C493" s="3">
        <v>4381.57</v>
      </c>
      <c r="D493" s="13">
        <f t="shared" si="21"/>
        <v>6.5012103659528184E-2</v>
      </c>
      <c r="G493" s="3">
        <v>3549.54</v>
      </c>
      <c r="H493" s="19">
        <v>64</v>
      </c>
      <c r="I493" s="4">
        <f t="shared" si="22"/>
        <v>3.8053357728979893E-2</v>
      </c>
      <c r="M493" s="3">
        <v>3549.54</v>
      </c>
      <c r="N493" s="4">
        <v>3.48</v>
      </c>
      <c r="O493" s="4">
        <f t="shared" si="23"/>
        <v>2.9514503505282425E-2</v>
      </c>
    </row>
    <row r="494" spans="2:15" x14ac:dyDescent="0.3">
      <c r="B494" s="3">
        <v>4928.43</v>
      </c>
      <c r="C494" s="3">
        <v>2680.29</v>
      </c>
      <c r="D494" s="13">
        <f t="shared" si="21"/>
        <v>6.5012103659528184E-2</v>
      </c>
      <c r="G494" s="3">
        <v>4928.43</v>
      </c>
      <c r="H494" s="19">
        <v>10</v>
      </c>
      <c r="I494" s="4">
        <f t="shared" si="22"/>
        <v>3.8053357728979893E-2</v>
      </c>
      <c r="M494" s="3">
        <v>4928.43</v>
      </c>
      <c r="N494" s="4">
        <v>4.71</v>
      </c>
      <c r="O494" s="4">
        <f t="shared" si="23"/>
        <v>2.9514503505282425E-2</v>
      </c>
    </row>
    <row r="495" spans="2:15" x14ac:dyDescent="0.3">
      <c r="B495" s="3">
        <v>4994.6000000000004</v>
      </c>
      <c r="C495" s="3">
        <v>3179.75</v>
      </c>
      <c r="D495" s="13">
        <f t="shared" si="21"/>
        <v>6.5012103659528184E-2</v>
      </c>
      <c r="G495" s="3">
        <v>4994.6000000000004</v>
      </c>
      <c r="H495" s="19">
        <v>81</v>
      </c>
      <c r="I495" s="4">
        <f t="shared" si="22"/>
        <v>3.8053357728979893E-2</v>
      </c>
      <c r="M495" s="3">
        <v>4994.6000000000004</v>
      </c>
      <c r="N495" s="4">
        <v>4.04</v>
      </c>
      <c r="O495" s="4">
        <f t="shared" si="23"/>
        <v>2.9514503505282425E-2</v>
      </c>
    </row>
    <row r="496" spans="2:15" x14ac:dyDescent="0.3">
      <c r="B496" s="3">
        <v>3262.45</v>
      </c>
      <c r="C496" s="3">
        <v>3746.07</v>
      </c>
      <c r="D496" s="13">
        <f t="shared" si="21"/>
        <v>6.5012103659528184E-2</v>
      </c>
      <c r="G496" s="3">
        <v>3262.45</v>
      </c>
      <c r="H496" s="19">
        <v>96</v>
      </c>
      <c r="I496" s="4">
        <f t="shared" si="22"/>
        <v>3.8053357728979893E-2</v>
      </c>
      <c r="M496" s="3">
        <v>3262.45</v>
      </c>
      <c r="N496" s="4">
        <v>3.19</v>
      </c>
      <c r="O496" s="4">
        <f t="shared" si="23"/>
        <v>2.9514503505282425E-2</v>
      </c>
    </row>
    <row r="497" spans="2:15" x14ac:dyDescent="0.3">
      <c r="B497" s="3">
        <v>7255.1</v>
      </c>
      <c r="C497" s="3">
        <v>1865.31</v>
      </c>
      <c r="D497" s="13">
        <f t="shared" si="21"/>
        <v>6.5012103659528184E-2</v>
      </c>
      <c r="G497" s="3">
        <v>7255.1</v>
      </c>
      <c r="H497" s="19">
        <v>47</v>
      </c>
      <c r="I497" s="4">
        <f t="shared" si="22"/>
        <v>3.8053357728979893E-2</v>
      </c>
      <c r="M497" s="3">
        <v>7255.1</v>
      </c>
      <c r="N497" s="4">
        <v>1.72</v>
      </c>
      <c r="O497" s="4">
        <f t="shared" si="23"/>
        <v>2.9514503505282425E-2</v>
      </c>
    </row>
    <row r="498" spans="2:15" x14ac:dyDescent="0.3">
      <c r="B498" s="3">
        <v>6316.04</v>
      </c>
      <c r="C498" s="3">
        <v>1591.35</v>
      </c>
      <c r="D498" s="13">
        <f t="shared" si="21"/>
        <v>6.5012103659528184E-2</v>
      </c>
      <c r="G498" s="3">
        <v>6316.04</v>
      </c>
      <c r="H498" s="19">
        <v>15</v>
      </c>
      <c r="I498" s="4">
        <f t="shared" si="22"/>
        <v>3.8053357728979893E-2</v>
      </c>
      <c r="M498" s="3">
        <v>6316.04</v>
      </c>
      <c r="N498" s="4">
        <v>2.83</v>
      </c>
      <c r="O498" s="4">
        <f t="shared" si="23"/>
        <v>2.9514503505282425E-2</v>
      </c>
    </row>
    <row r="499" spans="2:15" x14ac:dyDescent="0.3">
      <c r="B499" s="3">
        <v>4668.55</v>
      </c>
      <c r="C499" s="3">
        <v>1779.47</v>
      </c>
      <c r="D499" s="13">
        <f t="shared" si="21"/>
        <v>6.5012103659528184E-2</v>
      </c>
      <c r="G499" s="3">
        <v>4668.55</v>
      </c>
      <c r="H499" s="19">
        <v>95</v>
      </c>
      <c r="I499" s="4">
        <f t="shared" si="22"/>
        <v>3.8053357728979893E-2</v>
      </c>
      <c r="M499" s="3">
        <v>4668.55</v>
      </c>
      <c r="N499" s="4">
        <v>3.24</v>
      </c>
      <c r="O499" s="4">
        <f t="shared" si="23"/>
        <v>2.9514503505282425E-2</v>
      </c>
    </row>
    <row r="500" spans="2:15" x14ac:dyDescent="0.3">
      <c r="B500" s="3">
        <v>5040.33</v>
      </c>
      <c r="C500" s="3">
        <v>4010.07</v>
      </c>
      <c r="D500" s="13">
        <f t="shared" si="21"/>
        <v>6.5012103659528184E-2</v>
      </c>
      <c r="G500" s="3">
        <v>5040.33</v>
      </c>
      <c r="H500" s="19">
        <v>34</v>
      </c>
      <c r="I500" s="4">
        <f t="shared" si="22"/>
        <v>3.8053357728979893E-2</v>
      </c>
      <c r="M500" s="3">
        <v>5040.33</v>
      </c>
      <c r="N500" s="4">
        <v>4.46</v>
      </c>
      <c r="O500" s="4">
        <f t="shared" si="23"/>
        <v>2.9514503505282425E-2</v>
      </c>
    </row>
    <row r="501" spans="2:15" x14ac:dyDescent="0.3">
      <c r="B501" s="3">
        <v>5312.57</v>
      </c>
      <c r="C501" s="3">
        <v>2558.5100000000002</v>
      </c>
      <c r="D501" s="13">
        <f t="shared" si="21"/>
        <v>6.5012103659528184E-2</v>
      </c>
      <c r="G501" s="3">
        <v>5312.57</v>
      </c>
      <c r="H501" s="19">
        <v>91</v>
      </c>
      <c r="I501" s="4">
        <f t="shared" si="22"/>
        <v>3.8053357728979893E-2</v>
      </c>
      <c r="M501" s="3">
        <v>5312.57</v>
      </c>
      <c r="N501" s="4">
        <v>2.93</v>
      </c>
      <c r="O501" s="4">
        <f t="shared" si="23"/>
        <v>2.9514503505282425E-2</v>
      </c>
    </row>
    <row r="502" spans="2:15" x14ac:dyDescent="0.3">
      <c r="B502" s="3">
        <v>1937.4</v>
      </c>
      <c r="C502" s="3">
        <v>5046.5600000000004</v>
      </c>
      <c r="D502" s="13">
        <f t="shared" si="21"/>
        <v>6.5012103659528184E-2</v>
      </c>
      <c r="G502" s="3">
        <v>1937.4</v>
      </c>
      <c r="H502" s="19">
        <v>26</v>
      </c>
      <c r="I502" s="4">
        <f t="shared" si="22"/>
        <v>3.8053357728979893E-2</v>
      </c>
      <c r="M502" s="3">
        <v>1937.4</v>
      </c>
      <c r="N502" s="4">
        <v>4.59</v>
      </c>
      <c r="O502" s="4">
        <f t="shared" si="23"/>
        <v>2.9514503505282425E-2</v>
      </c>
    </row>
    <row r="503" spans="2:15" x14ac:dyDescent="0.3">
      <c r="B503" s="3">
        <v>4629.2299999999996</v>
      </c>
      <c r="C503" s="3">
        <v>2548.6</v>
      </c>
      <c r="D503" s="13">
        <f t="shared" si="21"/>
        <v>6.5012103659528184E-2</v>
      </c>
      <c r="G503" s="3">
        <v>4629.2299999999996</v>
      </c>
      <c r="H503" s="19">
        <v>70</v>
      </c>
      <c r="I503" s="4">
        <f t="shared" si="22"/>
        <v>3.8053357728979893E-2</v>
      </c>
      <c r="M503" s="3">
        <v>4629.2299999999996</v>
      </c>
      <c r="N503" s="4">
        <v>3.7</v>
      </c>
      <c r="O503" s="4">
        <f t="shared" si="23"/>
        <v>2.9514503505282425E-2</v>
      </c>
    </row>
    <row r="504" spans="2:15" x14ac:dyDescent="0.3">
      <c r="B504" s="3">
        <v>3977.02</v>
      </c>
      <c r="C504" s="3">
        <v>3147.64</v>
      </c>
      <c r="D504" s="13">
        <f t="shared" si="21"/>
        <v>6.5012103659528184E-2</v>
      </c>
      <c r="G504" s="3">
        <v>3977.02</v>
      </c>
      <c r="H504" s="19">
        <v>21</v>
      </c>
      <c r="I504" s="4">
        <f t="shared" si="22"/>
        <v>3.8053357728979893E-2</v>
      </c>
      <c r="M504" s="3">
        <v>3977.02</v>
      </c>
      <c r="N504" s="4">
        <v>1.55</v>
      </c>
      <c r="O504" s="4">
        <f t="shared" si="23"/>
        <v>2.9514503505282425E-2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3828-DC2E-4ACE-9C63-C93EBE767174}">
  <dimension ref="B2:S505"/>
  <sheetViews>
    <sheetView workbookViewId="0">
      <selection activeCell="E2" sqref="E2"/>
    </sheetView>
  </sheetViews>
  <sheetFormatPr defaultRowHeight="11.4" x14ac:dyDescent="0.2"/>
  <cols>
    <col min="1" max="1" width="8.88671875" style="1"/>
    <col min="2" max="2" width="18.21875" style="2" bestFit="1" customWidth="1"/>
    <col min="3" max="3" width="9.109375" style="14" bestFit="1" customWidth="1"/>
    <col min="4" max="4" width="12.77734375" style="21" bestFit="1" customWidth="1"/>
    <col min="5" max="5" width="8.88671875" style="1"/>
    <col min="6" max="6" width="17.44140625" style="1" bestFit="1" customWidth="1"/>
    <col min="7" max="7" width="12.33203125" style="1" bestFit="1" customWidth="1"/>
    <col min="8" max="8" width="13.88671875" style="1" bestFit="1" customWidth="1"/>
    <col min="9" max="9" width="13.109375" style="1" bestFit="1" customWidth="1"/>
    <col min="10" max="10" width="19.88671875" style="1" customWidth="1"/>
    <col min="11" max="15" width="0" style="1" hidden="1" customWidth="1"/>
    <col min="16" max="17" width="8.88671875" style="1"/>
    <col min="18" max="18" width="9.109375" style="1" bestFit="1" customWidth="1"/>
    <col min="19" max="19" width="12.6640625" style="1" bestFit="1" customWidth="1"/>
    <col min="20" max="16384" width="8.88671875" style="1"/>
  </cols>
  <sheetData>
    <row r="2" spans="2:19" ht="12" x14ac:dyDescent="0.25">
      <c r="B2" s="10" t="s">
        <v>17</v>
      </c>
      <c r="Q2" s="10" t="s">
        <v>17</v>
      </c>
      <c r="R2" s="14"/>
      <c r="S2" s="21"/>
    </row>
    <row r="3" spans="2:19" x14ac:dyDescent="0.2">
      <c r="Q3" s="2"/>
      <c r="R3" s="14"/>
      <c r="S3" s="21"/>
    </row>
    <row r="4" spans="2:19" ht="12.6" thickBot="1" x14ac:dyDescent="0.3">
      <c r="B4" s="5" t="s">
        <v>0</v>
      </c>
      <c r="C4" s="34" t="s">
        <v>3</v>
      </c>
      <c r="D4" s="34" t="s">
        <v>32</v>
      </c>
      <c r="F4" s="1" t="s">
        <v>33</v>
      </c>
      <c r="Q4" s="5" t="s">
        <v>0</v>
      </c>
      <c r="R4" s="34" t="s">
        <v>3</v>
      </c>
      <c r="S4" s="34" t="s">
        <v>60</v>
      </c>
    </row>
    <row r="5" spans="2:19" ht="12" thickBot="1" x14ac:dyDescent="0.25">
      <c r="B5" s="2">
        <v>43831</v>
      </c>
      <c r="C5" s="14">
        <v>7284.69</v>
      </c>
      <c r="Q5" s="2">
        <v>43831</v>
      </c>
      <c r="R5" s="14">
        <v>7284.69</v>
      </c>
      <c r="S5" s="21"/>
    </row>
    <row r="6" spans="2:19" x14ac:dyDescent="0.2">
      <c r="B6" s="2">
        <v>43832</v>
      </c>
      <c r="C6" s="14">
        <v>5808.37</v>
      </c>
      <c r="D6" s="14">
        <v>7284.69</v>
      </c>
      <c r="F6" s="40" t="s">
        <v>34</v>
      </c>
      <c r="G6" s="40"/>
      <c r="Q6" s="2">
        <v>43832</v>
      </c>
      <c r="R6" s="14">
        <v>5808.37</v>
      </c>
      <c r="S6" s="14"/>
    </row>
    <row r="7" spans="2:19" x14ac:dyDescent="0.2">
      <c r="B7" s="2">
        <v>43833</v>
      </c>
      <c r="C7" s="14">
        <v>3444.13</v>
      </c>
      <c r="D7" s="14">
        <v>5808.37</v>
      </c>
      <c r="F7" s="35" t="s">
        <v>35</v>
      </c>
      <c r="G7" s="35">
        <v>9.0678613088215638E-3</v>
      </c>
      <c r="Q7" s="2">
        <v>43833</v>
      </c>
      <c r="R7" s="14">
        <v>3444.13</v>
      </c>
      <c r="S7" s="14"/>
    </row>
    <row r="8" spans="2:19" x14ac:dyDescent="0.2">
      <c r="B8" s="2">
        <v>43834</v>
      </c>
      <c r="C8" s="14">
        <v>4714.49</v>
      </c>
      <c r="D8" s="14">
        <v>3444.13</v>
      </c>
      <c r="F8" s="35" t="s">
        <v>36</v>
      </c>
      <c r="G8" s="35">
        <v>8.2226108716023117E-5</v>
      </c>
      <c r="Q8" s="2">
        <v>43834</v>
      </c>
      <c r="R8" s="14">
        <v>4714.49</v>
      </c>
      <c r="S8" s="14"/>
    </row>
    <row r="9" spans="2:19" x14ac:dyDescent="0.2">
      <c r="B9" s="2">
        <v>43835</v>
      </c>
      <c r="C9" s="14">
        <v>3686.57</v>
      </c>
      <c r="D9" s="14">
        <v>4714.49</v>
      </c>
      <c r="F9" s="35" t="s">
        <v>37</v>
      </c>
      <c r="G9" s="35">
        <v>-1.9296808810048702E-3</v>
      </c>
      <c r="Q9" s="2">
        <v>43835</v>
      </c>
      <c r="R9" s="14">
        <v>3686.57</v>
      </c>
      <c r="S9" s="14"/>
    </row>
    <row r="10" spans="2:19" x14ac:dyDescent="0.2">
      <c r="B10" s="2">
        <v>43836</v>
      </c>
      <c r="C10" s="14">
        <v>2925.8</v>
      </c>
      <c r="D10" s="14">
        <v>3686.57</v>
      </c>
      <c r="F10" s="35" t="s">
        <v>38</v>
      </c>
      <c r="G10" s="35">
        <v>1468.2351713941903</v>
      </c>
      <c r="Q10" s="2">
        <v>43836</v>
      </c>
      <c r="R10" s="14">
        <v>2925.8</v>
      </c>
      <c r="S10" s="14"/>
    </row>
    <row r="11" spans="2:19" ht="12" thickBot="1" x14ac:dyDescent="0.25">
      <c r="B11" s="2">
        <v>43837</v>
      </c>
      <c r="C11" s="14">
        <v>6389.27</v>
      </c>
      <c r="D11" s="14">
        <v>2925.8</v>
      </c>
      <c r="F11" s="36" t="s">
        <v>39</v>
      </c>
      <c r="G11" s="36">
        <v>499</v>
      </c>
      <c r="Q11" s="2">
        <v>43837</v>
      </c>
      <c r="R11" s="14">
        <v>6389.27</v>
      </c>
      <c r="S11" s="14"/>
    </row>
    <row r="12" spans="2:19" x14ac:dyDescent="0.2">
      <c r="B12" s="2">
        <v>43838</v>
      </c>
      <c r="C12" s="14">
        <v>7864.12</v>
      </c>
      <c r="D12" s="14">
        <v>6389.27</v>
      </c>
      <c r="Q12" s="2">
        <v>43838</v>
      </c>
      <c r="R12" s="14">
        <v>7864.12</v>
      </c>
      <c r="S12" s="14"/>
    </row>
    <row r="13" spans="2:19" ht="12" thickBot="1" x14ac:dyDescent="0.25">
      <c r="B13" s="2">
        <v>43839</v>
      </c>
      <c r="C13" s="14">
        <v>2902.15</v>
      </c>
      <c r="D13" s="14">
        <v>7864.12</v>
      </c>
      <c r="F13" s="1" t="s">
        <v>40</v>
      </c>
      <c r="Q13" s="2">
        <v>43839</v>
      </c>
      <c r="R13" s="14">
        <v>2902.15</v>
      </c>
      <c r="S13" s="14"/>
    </row>
    <row r="14" spans="2:19" x14ac:dyDescent="0.2">
      <c r="B14" s="2">
        <v>43840</v>
      </c>
      <c r="C14" s="14">
        <v>5844.45</v>
      </c>
      <c r="D14" s="14">
        <v>2902.15</v>
      </c>
      <c r="F14" s="37"/>
      <c r="G14" s="37" t="s">
        <v>45</v>
      </c>
      <c r="H14" s="37" t="s">
        <v>46</v>
      </c>
      <c r="I14" s="37" t="s">
        <v>47</v>
      </c>
      <c r="J14" s="37" t="s">
        <v>48</v>
      </c>
      <c r="K14" s="37" t="s">
        <v>49</v>
      </c>
      <c r="Q14" s="2">
        <v>43840</v>
      </c>
      <c r="R14" s="14">
        <v>5844.45</v>
      </c>
      <c r="S14" s="14"/>
    </row>
    <row r="15" spans="2:19" x14ac:dyDescent="0.2">
      <c r="B15" s="2">
        <v>43841</v>
      </c>
      <c r="C15" s="14">
        <v>4024.04</v>
      </c>
      <c r="D15" s="14">
        <v>5844.45</v>
      </c>
      <c r="F15" s="35" t="s">
        <v>41</v>
      </c>
      <c r="G15" s="35">
        <v>1</v>
      </c>
      <c r="H15" s="35">
        <v>88103.48453783989</v>
      </c>
      <c r="I15" s="35">
        <v>88103.48453783989</v>
      </c>
      <c r="J15" s="35">
        <v>4.0869736591267636E-2</v>
      </c>
      <c r="K15" s="35">
        <v>0.83987229647375983</v>
      </c>
      <c r="Q15" s="2">
        <v>43841</v>
      </c>
      <c r="R15" s="14">
        <v>4024.04</v>
      </c>
      <c r="S15" s="14"/>
    </row>
    <row r="16" spans="2:19" x14ac:dyDescent="0.2">
      <c r="B16" s="2">
        <v>43842</v>
      </c>
      <c r="C16" s="14">
        <v>4269.3100000000004</v>
      </c>
      <c r="D16" s="14">
        <v>4024.04</v>
      </c>
      <c r="F16" s="35" t="s">
        <v>42</v>
      </c>
      <c r="G16" s="35">
        <v>497</v>
      </c>
      <c r="H16" s="35">
        <v>1071390115.7039068</v>
      </c>
      <c r="I16" s="35">
        <v>2155714.518518927</v>
      </c>
      <c r="J16" s="35"/>
      <c r="K16" s="35"/>
      <c r="Q16" s="2">
        <v>43842</v>
      </c>
      <c r="R16" s="14">
        <v>4269.3100000000004</v>
      </c>
      <c r="S16" s="14">
        <v>7284.69</v>
      </c>
    </row>
    <row r="17" spans="2:19" ht="12" thickBot="1" x14ac:dyDescent="0.25">
      <c r="B17" s="2">
        <v>43843</v>
      </c>
      <c r="C17" s="14">
        <v>4111.41</v>
      </c>
      <c r="D17" s="14">
        <v>4269.3100000000004</v>
      </c>
      <c r="F17" s="36" t="s">
        <v>43</v>
      </c>
      <c r="G17" s="36">
        <v>498</v>
      </c>
      <c r="H17" s="36">
        <v>1071478219.1884446</v>
      </c>
      <c r="I17" s="36"/>
      <c r="J17" s="36"/>
      <c r="K17" s="36"/>
      <c r="Q17" s="2">
        <v>43843</v>
      </c>
      <c r="R17" s="14">
        <v>4111.41</v>
      </c>
      <c r="S17" s="14">
        <v>5808.37</v>
      </c>
    </row>
    <row r="18" spans="2:19" ht="12" thickBot="1" x14ac:dyDescent="0.25">
      <c r="B18" s="2">
        <v>43844</v>
      </c>
      <c r="C18" s="14">
        <v>3704.01</v>
      </c>
      <c r="D18" s="14">
        <v>4111.41</v>
      </c>
      <c r="Q18" s="2">
        <v>43844</v>
      </c>
      <c r="R18" s="14">
        <v>3704.01</v>
      </c>
      <c r="S18" s="14">
        <v>3444.13</v>
      </c>
    </row>
    <row r="19" spans="2:19" x14ac:dyDescent="0.2">
      <c r="B19" s="2">
        <v>43845</v>
      </c>
      <c r="C19" s="14">
        <v>5072.78</v>
      </c>
      <c r="D19" s="14">
        <v>3704.01</v>
      </c>
      <c r="F19" s="37"/>
      <c r="G19" s="37" t="s">
        <v>50</v>
      </c>
      <c r="H19" s="37" t="s">
        <v>38</v>
      </c>
      <c r="I19" s="37" t="s">
        <v>51</v>
      </c>
      <c r="J19" s="37" t="s">
        <v>52</v>
      </c>
      <c r="K19" s="37" t="s">
        <v>53</v>
      </c>
      <c r="L19" s="37" t="s">
        <v>54</v>
      </c>
      <c r="M19" s="37" t="s">
        <v>55</v>
      </c>
      <c r="N19" s="37" t="s">
        <v>56</v>
      </c>
      <c r="Q19" s="2">
        <v>43845</v>
      </c>
      <c r="R19" s="14">
        <v>5072.78</v>
      </c>
      <c r="S19" s="14">
        <v>4714.49</v>
      </c>
    </row>
    <row r="20" spans="2:19" x14ac:dyDescent="0.2">
      <c r="B20" s="2">
        <v>43846</v>
      </c>
      <c r="C20" s="14">
        <v>3753.57</v>
      </c>
      <c r="D20" s="14">
        <v>5072.78</v>
      </c>
      <c r="F20" s="38" t="s">
        <v>44</v>
      </c>
      <c r="G20" s="38">
        <v>5081.1350768422644</v>
      </c>
      <c r="H20" s="38">
        <v>235.12243907876919</v>
      </c>
      <c r="I20" s="38">
        <v>21.610591897356151</v>
      </c>
      <c r="J20" s="38">
        <v>1.6197128944699356E-73</v>
      </c>
      <c r="K20" s="35">
        <v>4619.1785906268597</v>
      </c>
      <c r="L20" s="35">
        <v>5543.0915630576692</v>
      </c>
      <c r="M20" s="35">
        <v>4619.1785906268597</v>
      </c>
      <c r="N20" s="35">
        <v>5543.0915630576692</v>
      </c>
      <c r="Q20" s="2">
        <v>43846</v>
      </c>
      <c r="R20" s="14">
        <v>3753.57</v>
      </c>
      <c r="S20" s="14">
        <v>3686.57</v>
      </c>
    </row>
    <row r="21" spans="2:19" ht="12" thickBot="1" x14ac:dyDescent="0.25">
      <c r="B21" s="2">
        <v>43847</v>
      </c>
      <c r="C21" s="14">
        <v>5405.69</v>
      </c>
      <c r="D21" s="14">
        <v>3753.57</v>
      </c>
      <c r="F21" s="39" t="s">
        <v>57</v>
      </c>
      <c r="G21" s="39">
        <v>-9.0513337480691066E-3</v>
      </c>
      <c r="H21" s="39">
        <v>4.4772532411156245E-2</v>
      </c>
      <c r="I21" s="39">
        <v>-0.20216264885239618</v>
      </c>
      <c r="J21" s="39">
        <v>0.83987229647424366</v>
      </c>
      <c r="K21" s="36">
        <v>-9.7018104731990254E-2</v>
      </c>
      <c r="L21" s="36">
        <v>7.8915437235852051E-2</v>
      </c>
      <c r="M21" s="36">
        <v>-9.7018104731990254E-2</v>
      </c>
      <c r="N21" s="36">
        <v>7.8915437235852051E-2</v>
      </c>
      <c r="Q21" s="2">
        <v>43847</v>
      </c>
      <c r="R21" s="14">
        <v>5405.69</v>
      </c>
      <c r="S21" s="14">
        <v>2925.8</v>
      </c>
    </row>
    <row r="22" spans="2:19" x14ac:dyDescent="0.2">
      <c r="B22" s="2">
        <v>43848</v>
      </c>
      <c r="C22" s="14">
        <v>4924.6400000000003</v>
      </c>
      <c r="D22" s="14">
        <v>5405.69</v>
      </c>
      <c r="Q22" s="2">
        <v>43848</v>
      </c>
      <c r="R22" s="14">
        <v>4924.6400000000003</v>
      </c>
      <c r="S22" s="14">
        <v>6389.27</v>
      </c>
    </row>
    <row r="23" spans="2:19" x14ac:dyDescent="0.2">
      <c r="B23" s="2">
        <v>43849</v>
      </c>
      <c r="C23" s="14">
        <v>4641.58</v>
      </c>
      <c r="D23" s="14">
        <v>4924.6400000000003</v>
      </c>
      <c r="Q23" s="2">
        <v>43849</v>
      </c>
      <c r="R23" s="14">
        <v>4641.58</v>
      </c>
      <c r="S23" s="14">
        <v>7864.12</v>
      </c>
    </row>
    <row r="24" spans="2:19" x14ac:dyDescent="0.2">
      <c r="B24" s="2">
        <v>43850</v>
      </c>
      <c r="C24" s="14">
        <v>3638.65</v>
      </c>
      <c r="D24" s="14">
        <v>4641.58</v>
      </c>
      <c r="Q24" s="2">
        <v>43850</v>
      </c>
      <c r="R24" s="14">
        <v>3638.65</v>
      </c>
      <c r="S24" s="14">
        <v>2902.15</v>
      </c>
    </row>
    <row r="25" spans="2:19" x14ac:dyDescent="0.2">
      <c r="B25" s="2">
        <v>43851</v>
      </c>
      <c r="C25" s="14">
        <v>4134.84</v>
      </c>
      <c r="D25" s="14">
        <v>3638.65</v>
      </c>
      <c r="Q25" s="2">
        <v>43851</v>
      </c>
      <c r="R25" s="14">
        <v>4134.84</v>
      </c>
      <c r="S25" s="14">
        <v>5844.45</v>
      </c>
    </row>
    <row r="26" spans="2:19" x14ac:dyDescent="0.2">
      <c r="B26" s="2">
        <v>43852</v>
      </c>
      <c r="C26" s="14">
        <v>6133.09</v>
      </c>
      <c r="D26" s="14">
        <v>4134.84</v>
      </c>
      <c r="Q26" s="2">
        <v>43852</v>
      </c>
      <c r="R26" s="14">
        <v>6133.09</v>
      </c>
      <c r="S26" s="14">
        <v>4024.04</v>
      </c>
    </row>
    <row r="27" spans="2:19" x14ac:dyDescent="0.2">
      <c r="B27" s="2">
        <v>43853</v>
      </c>
      <c r="C27" s="14">
        <v>5751.38</v>
      </c>
      <c r="D27" s="14">
        <v>6133.09</v>
      </c>
      <c r="Q27" s="2">
        <v>43853</v>
      </c>
      <c r="R27" s="14">
        <v>5751.38</v>
      </c>
      <c r="S27" s="14">
        <v>4269.3100000000004</v>
      </c>
    </row>
    <row r="28" spans="2:19" x14ac:dyDescent="0.2">
      <c r="B28" s="2">
        <v>43854</v>
      </c>
      <c r="C28" s="14">
        <v>3533.67</v>
      </c>
      <c r="D28" s="14">
        <v>5751.38</v>
      </c>
      <c r="Q28" s="2">
        <v>43854</v>
      </c>
      <c r="R28" s="14">
        <v>3533.67</v>
      </c>
      <c r="S28" s="14">
        <v>4111.41</v>
      </c>
    </row>
    <row r="29" spans="2:19" x14ac:dyDescent="0.2">
      <c r="B29" s="2">
        <v>43855</v>
      </c>
      <c r="C29" s="14">
        <v>5149</v>
      </c>
      <c r="D29" s="14">
        <v>3533.67</v>
      </c>
      <c r="Q29" s="2">
        <v>43855</v>
      </c>
      <c r="R29" s="14">
        <v>5149</v>
      </c>
      <c r="S29" s="14">
        <v>3704.01</v>
      </c>
    </row>
    <row r="30" spans="2:19" x14ac:dyDescent="0.2">
      <c r="B30" s="2">
        <v>43856</v>
      </c>
      <c r="C30" s="14">
        <v>6127.08</v>
      </c>
      <c r="D30" s="14">
        <v>5149</v>
      </c>
      <c r="Q30" s="2">
        <v>43856</v>
      </c>
      <c r="R30" s="14">
        <v>6127.08</v>
      </c>
      <c r="S30" s="14">
        <v>5072.78</v>
      </c>
    </row>
    <row r="31" spans="2:19" x14ac:dyDescent="0.2">
      <c r="B31" s="2">
        <v>43857</v>
      </c>
      <c r="C31" s="14">
        <v>2495.89</v>
      </c>
      <c r="D31" s="14">
        <v>6127.08</v>
      </c>
      <c r="Q31" s="2">
        <v>43857</v>
      </c>
      <c r="R31" s="14">
        <v>2495.89</v>
      </c>
      <c r="S31" s="14">
        <v>3753.57</v>
      </c>
    </row>
    <row r="32" spans="2:19" x14ac:dyDescent="0.2">
      <c r="B32" s="2">
        <v>43858</v>
      </c>
      <c r="C32" s="14">
        <v>5815.04</v>
      </c>
      <c r="D32" s="14">
        <v>2495.89</v>
      </c>
      <c r="Q32" s="2">
        <v>43858</v>
      </c>
      <c r="R32" s="14">
        <v>5815.04</v>
      </c>
      <c r="S32" s="14">
        <v>5405.69</v>
      </c>
    </row>
    <row r="33" spans="2:19" x14ac:dyDescent="0.2">
      <c r="B33" s="2">
        <v>43859</v>
      </c>
      <c r="C33" s="14">
        <v>4006.06</v>
      </c>
      <c r="D33" s="14">
        <v>5815.04</v>
      </c>
      <c r="Q33" s="2">
        <v>43859</v>
      </c>
      <c r="R33" s="14">
        <v>4006.06</v>
      </c>
      <c r="S33" s="14">
        <v>4924.6400000000003</v>
      </c>
    </row>
    <row r="34" spans="2:19" x14ac:dyDescent="0.2">
      <c r="B34" s="2">
        <v>43860</v>
      </c>
      <c r="C34" s="14">
        <v>5855.9</v>
      </c>
      <c r="D34" s="14">
        <v>4006.06</v>
      </c>
      <c r="Q34" s="2">
        <v>43860</v>
      </c>
      <c r="R34" s="14">
        <v>5855.9</v>
      </c>
      <c r="S34" s="14">
        <v>4641.58</v>
      </c>
    </row>
    <row r="35" spans="2:19" x14ac:dyDescent="0.2">
      <c r="B35" s="2">
        <v>43861</v>
      </c>
      <c r="C35" s="14">
        <v>3855.11</v>
      </c>
      <c r="D35" s="14">
        <v>5855.9</v>
      </c>
      <c r="Q35" s="2">
        <v>43861</v>
      </c>
      <c r="R35" s="14">
        <v>3855.11</v>
      </c>
      <c r="S35" s="14">
        <v>3638.65</v>
      </c>
    </row>
    <row r="36" spans="2:19" x14ac:dyDescent="0.2">
      <c r="B36" s="2">
        <v>43862</v>
      </c>
      <c r="C36" s="14">
        <v>2292.6799999999998</v>
      </c>
      <c r="D36" s="14">
        <v>3855.11</v>
      </c>
      <c r="Q36" s="2">
        <v>43862</v>
      </c>
      <c r="R36" s="14">
        <v>2292.6799999999998</v>
      </c>
      <c r="S36" s="14">
        <v>4134.84</v>
      </c>
    </row>
    <row r="37" spans="2:19" x14ac:dyDescent="0.2">
      <c r="B37" s="2">
        <v>43863</v>
      </c>
      <c r="C37" s="14">
        <v>2558.69</v>
      </c>
      <c r="D37" s="14">
        <v>2292.6799999999998</v>
      </c>
      <c r="Q37" s="2">
        <v>43863</v>
      </c>
      <c r="R37" s="14">
        <v>2558.69</v>
      </c>
      <c r="S37" s="14">
        <v>6133.09</v>
      </c>
    </row>
    <row r="38" spans="2:19" x14ac:dyDescent="0.2">
      <c r="B38" s="2">
        <v>43864</v>
      </c>
      <c r="C38" s="14">
        <v>5072.13</v>
      </c>
      <c r="D38" s="14">
        <v>2558.69</v>
      </c>
      <c r="Q38" s="2">
        <v>43864</v>
      </c>
      <c r="R38" s="14">
        <v>5072.13</v>
      </c>
      <c r="S38" s="14">
        <v>5751.38</v>
      </c>
    </row>
    <row r="39" spans="2:19" x14ac:dyDescent="0.2">
      <c r="B39" s="2">
        <v>43865</v>
      </c>
      <c r="C39" s="14">
        <v>5389.58</v>
      </c>
      <c r="D39" s="14">
        <v>5072.13</v>
      </c>
      <c r="Q39" s="2">
        <v>43865</v>
      </c>
      <c r="R39" s="14">
        <v>5389.58</v>
      </c>
      <c r="S39" s="14">
        <v>3533.67</v>
      </c>
    </row>
    <row r="40" spans="2:19" x14ac:dyDescent="0.2">
      <c r="B40" s="2">
        <v>43866</v>
      </c>
      <c r="C40" s="14">
        <v>3643.53</v>
      </c>
      <c r="D40" s="14">
        <v>5389.58</v>
      </c>
      <c r="Q40" s="2">
        <v>43866</v>
      </c>
      <c r="R40" s="14">
        <v>3643.53</v>
      </c>
      <c r="S40" s="14">
        <v>5149</v>
      </c>
    </row>
    <row r="41" spans="2:19" x14ac:dyDescent="0.2">
      <c r="B41" s="2">
        <v>43867</v>
      </c>
      <c r="C41" s="14">
        <v>5957.89</v>
      </c>
      <c r="D41" s="14">
        <v>3643.53</v>
      </c>
      <c r="Q41" s="2">
        <v>43867</v>
      </c>
      <c r="R41" s="14">
        <v>5957.89</v>
      </c>
      <c r="S41" s="14">
        <v>6127.08</v>
      </c>
    </row>
    <row r="42" spans="2:19" x14ac:dyDescent="0.2">
      <c r="B42" s="2">
        <v>43868</v>
      </c>
      <c r="C42" s="14">
        <v>2507.7199999999998</v>
      </c>
      <c r="D42" s="14">
        <v>5957.89</v>
      </c>
      <c r="Q42" s="2">
        <v>43868</v>
      </c>
      <c r="R42" s="14">
        <v>2507.7199999999998</v>
      </c>
      <c r="S42" s="14">
        <v>2495.89</v>
      </c>
    </row>
    <row r="43" spans="2:19" x14ac:dyDescent="0.2">
      <c r="B43" s="2">
        <v>43869</v>
      </c>
      <c r="C43" s="14">
        <v>4900.88</v>
      </c>
      <c r="D43" s="14">
        <v>2507.7199999999998</v>
      </c>
      <c r="Q43" s="2">
        <v>43869</v>
      </c>
      <c r="R43" s="14">
        <v>4900.88</v>
      </c>
      <c r="S43" s="14">
        <v>5815.04</v>
      </c>
    </row>
    <row r="44" spans="2:19" x14ac:dyDescent="0.2">
      <c r="B44" s="2">
        <v>43870</v>
      </c>
      <c r="C44" s="14">
        <v>3183.48</v>
      </c>
      <c r="D44" s="14">
        <v>4900.88</v>
      </c>
      <c r="Q44" s="2">
        <v>43870</v>
      </c>
      <c r="R44" s="14">
        <v>3183.48</v>
      </c>
      <c r="S44" s="14">
        <v>4006.06</v>
      </c>
    </row>
    <row r="45" spans="2:19" x14ac:dyDescent="0.2">
      <c r="B45" s="2">
        <v>43871</v>
      </c>
      <c r="C45" s="14">
        <v>4022.25</v>
      </c>
      <c r="D45" s="14">
        <v>3183.48</v>
      </c>
      <c r="Q45" s="2">
        <v>43871</v>
      </c>
      <c r="R45" s="14">
        <v>4022.25</v>
      </c>
      <c r="S45" s="14">
        <v>5855.9</v>
      </c>
    </row>
    <row r="46" spans="2:19" x14ac:dyDescent="0.2">
      <c r="B46" s="2">
        <v>43872</v>
      </c>
      <c r="C46" s="14">
        <v>5071.1000000000004</v>
      </c>
      <c r="D46" s="14">
        <v>4022.25</v>
      </c>
      <c r="Q46" s="2">
        <v>43872</v>
      </c>
      <c r="R46" s="14">
        <v>5071.1000000000004</v>
      </c>
      <c r="S46" s="14">
        <v>3855.11</v>
      </c>
    </row>
    <row r="47" spans="2:19" x14ac:dyDescent="0.2">
      <c r="B47" s="2">
        <v>43873</v>
      </c>
      <c r="C47" s="14">
        <v>3709.38</v>
      </c>
      <c r="D47" s="14">
        <v>5071.1000000000004</v>
      </c>
      <c r="Q47" s="2">
        <v>43873</v>
      </c>
      <c r="R47" s="14">
        <v>3709.38</v>
      </c>
      <c r="S47" s="14">
        <v>2292.6799999999998</v>
      </c>
    </row>
    <row r="48" spans="2:19" x14ac:dyDescent="0.2">
      <c r="B48" s="2">
        <v>43874</v>
      </c>
      <c r="C48" s="14">
        <v>4423.17</v>
      </c>
      <c r="D48" s="14">
        <v>3709.38</v>
      </c>
      <c r="Q48" s="2">
        <v>43874</v>
      </c>
      <c r="R48" s="14">
        <v>4423.17</v>
      </c>
      <c r="S48" s="14">
        <v>2558.69</v>
      </c>
    </row>
    <row r="49" spans="2:19" x14ac:dyDescent="0.2">
      <c r="B49" s="2">
        <v>43875</v>
      </c>
      <c r="C49" s="14">
        <v>6509.44</v>
      </c>
      <c r="D49" s="14">
        <v>4423.17</v>
      </c>
      <c r="Q49" s="2">
        <v>43875</v>
      </c>
      <c r="R49" s="14">
        <v>6509.44</v>
      </c>
      <c r="S49" s="14">
        <v>5072.13</v>
      </c>
    </row>
    <row r="50" spans="2:19" x14ac:dyDescent="0.2">
      <c r="B50" s="2">
        <v>43876</v>
      </c>
      <c r="C50" s="14">
        <v>4134.66</v>
      </c>
      <c r="D50" s="14">
        <v>6509.44</v>
      </c>
      <c r="Q50" s="2">
        <v>43876</v>
      </c>
      <c r="R50" s="14">
        <v>4134.66</v>
      </c>
      <c r="S50" s="14">
        <v>5389.58</v>
      </c>
    </row>
    <row r="51" spans="2:19" x14ac:dyDescent="0.2">
      <c r="B51" s="2">
        <v>43877</v>
      </c>
      <c r="C51" s="14">
        <v>6253.54</v>
      </c>
      <c r="D51" s="14">
        <v>4134.66</v>
      </c>
      <c r="Q51" s="2">
        <v>43877</v>
      </c>
      <c r="R51" s="14">
        <v>6253.54</v>
      </c>
      <c r="S51" s="14">
        <v>3643.53</v>
      </c>
    </row>
    <row r="52" spans="2:19" x14ac:dyDescent="0.2">
      <c r="B52" s="2">
        <v>43878</v>
      </c>
      <c r="C52" s="14">
        <v>3305.44</v>
      </c>
      <c r="D52" s="14">
        <v>6253.54</v>
      </c>
      <c r="Q52" s="2">
        <v>43878</v>
      </c>
      <c r="R52" s="14">
        <v>3305.44</v>
      </c>
      <c r="S52" s="14">
        <v>5957.89</v>
      </c>
    </row>
    <row r="53" spans="2:19" x14ac:dyDescent="0.2">
      <c r="B53" s="2">
        <v>43879</v>
      </c>
      <c r="C53" s="14">
        <v>5794.71</v>
      </c>
      <c r="D53" s="14">
        <v>3305.44</v>
      </c>
      <c r="Q53" s="2">
        <v>43879</v>
      </c>
      <c r="R53" s="14">
        <v>5794.71</v>
      </c>
      <c r="S53" s="14">
        <v>2507.7199999999998</v>
      </c>
    </row>
    <row r="54" spans="2:19" x14ac:dyDescent="0.2">
      <c r="B54" s="2">
        <v>43880</v>
      </c>
      <c r="C54" s="14">
        <v>7162.35</v>
      </c>
      <c r="D54" s="14">
        <v>5794.71</v>
      </c>
      <c r="Q54" s="2">
        <v>43880</v>
      </c>
      <c r="R54" s="14">
        <v>7162.35</v>
      </c>
      <c r="S54" s="14">
        <v>4900.88</v>
      </c>
    </row>
    <row r="55" spans="2:19" x14ac:dyDescent="0.2">
      <c r="B55" s="2">
        <v>43881</v>
      </c>
      <c r="C55" s="14">
        <v>1292.53</v>
      </c>
      <c r="D55" s="14">
        <v>7162.35</v>
      </c>
      <c r="Q55" s="2">
        <v>43881</v>
      </c>
      <c r="R55" s="14">
        <v>1292.53</v>
      </c>
      <c r="S55" s="14">
        <v>3183.48</v>
      </c>
    </row>
    <row r="56" spans="2:19" x14ac:dyDescent="0.2">
      <c r="B56" s="2">
        <v>43882</v>
      </c>
      <c r="C56" s="14">
        <v>3804.66</v>
      </c>
      <c r="D56" s="14">
        <v>1292.53</v>
      </c>
      <c r="Q56" s="2">
        <v>43882</v>
      </c>
      <c r="R56" s="14">
        <v>3804.66</v>
      </c>
      <c r="S56" s="14">
        <v>4022.25</v>
      </c>
    </row>
    <row r="57" spans="2:19" x14ac:dyDescent="0.2">
      <c r="B57" s="2">
        <v>43883</v>
      </c>
      <c r="C57" s="14">
        <v>5865.61</v>
      </c>
      <c r="D57" s="14">
        <v>3804.66</v>
      </c>
      <c r="Q57" s="2">
        <v>43883</v>
      </c>
      <c r="R57" s="14">
        <v>5865.61</v>
      </c>
      <c r="S57" s="14">
        <v>5071.1000000000004</v>
      </c>
    </row>
    <row r="58" spans="2:19" x14ac:dyDescent="0.2">
      <c r="B58" s="2">
        <v>43884</v>
      </c>
      <c r="C58" s="14">
        <v>4695.43</v>
      </c>
      <c r="D58" s="14">
        <v>5865.61</v>
      </c>
      <c r="Q58" s="2">
        <v>43884</v>
      </c>
      <c r="R58" s="14">
        <v>4695.43</v>
      </c>
      <c r="S58" s="14">
        <v>3709.38</v>
      </c>
    </row>
    <row r="59" spans="2:19" x14ac:dyDescent="0.2">
      <c r="B59" s="2">
        <v>43885</v>
      </c>
      <c r="C59" s="14">
        <v>5556.72</v>
      </c>
      <c r="D59" s="14">
        <v>4695.43</v>
      </c>
      <c r="Q59" s="2">
        <v>43885</v>
      </c>
      <c r="R59" s="14">
        <v>5556.72</v>
      </c>
      <c r="S59" s="14">
        <v>4423.17</v>
      </c>
    </row>
    <row r="60" spans="2:19" x14ac:dyDescent="0.2">
      <c r="B60" s="2">
        <v>43886</v>
      </c>
      <c r="C60" s="14">
        <v>4094.02</v>
      </c>
      <c r="D60" s="14">
        <v>5556.72</v>
      </c>
      <c r="Q60" s="2">
        <v>43886</v>
      </c>
      <c r="R60" s="14">
        <v>4094.02</v>
      </c>
      <c r="S60" s="14">
        <v>6509.44</v>
      </c>
    </row>
    <row r="61" spans="2:19" x14ac:dyDescent="0.2">
      <c r="B61" s="2">
        <v>43887</v>
      </c>
      <c r="C61" s="14">
        <v>5129.88</v>
      </c>
      <c r="D61" s="14">
        <v>4094.02</v>
      </c>
      <c r="Q61" s="2">
        <v>43887</v>
      </c>
      <c r="R61" s="14">
        <v>5129.88</v>
      </c>
      <c r="S61" s="14">
        <v>4134.66</v>
      </c>
    </row>
    <row r="62" spans="2:19" x14ac:dyDescent="0.2">
      <c r="B62" s="2">
        <v>43888</v>
      </c>
      <c r="C62" s="14">
        <v>4766.4799999999996</v>
      </c>
      <c r="D62" s="14">
        <v>5129.88</v>
      </c>
      <c r="Q62" s="2">
        <v>43888</v>
      </c>
      <c r="R62" s="14">
        <v>4766.4799999999996</v>
      </c>
      <c r="S62" s="14">
        <v>6253.54</v>
      </c>
    </row>
    <row r="63" spans="2:19" x14ac:dyDescent="0.2">
      <c r="B63" s="2">
        <v>43889</v>
      </c>
      <c r="C63" s="14">
        <v>6751.67</v>
      </c>
      <c r="D63" s="14">
        <v>4766.4799999999996</v>
      </c>
      <c r="Q63" s="2">
        <v>43889</v>
      </c>
      <c r="R63" s="14">
        <v>6751.67</v>
      </c>
      <c r="S63" s="14">
        <v>3305.44</v>
      </c>
    </row>
    <row r="64" spans="2:19" x14ac:dyDescent="0.2">
      <c r="B64" s="2">
        <v>43890</v>
      </c>
      <c r="C64" s="14">
        <v>5381.63</v>
      </c>
      <c r="D64" s="14">
        <v>6751.67</v>
      </c>
      <c r="Q64" s="2">
        <v>43890</v>
      </c>
      <c r="R64" s="14">
        <v>5381.63</v>
      </c>
      <c r="S64" s="14">
        <v>5794.71</v>
      </c>
    </row>
    <row r="65" spans="2:19" x14ac:dyDescent="0.2">
      <c r="B65" s="2">
        <v>43891</v>
      </c>
      <c r="C65" s="14">
        <v>5506.4</v>
      </c>
      <c r="D65" s="14">
        <v>5381.63</v>
      </c>
      <c r="Q65" s="2">
        <v>43891</v>
      </c>
      <c r="R65" s="14">
        <v>5506.4</v>
      </c>
      <c r="S65" s="14">
        <v>7162.35</v>
      </c>
    </row>
    <row r="66" spans="2:19" x14ac:dyDescent="0.2">
      <c r="B66" s="2">
        <v>43892</v>
      </c>
      <c r="C66" s="14">
        <v>4382.18</v>
      </c>
      <c r="D66" s="14">
        <v>5506.4</v>
      </c>
      <c r="Q66" s="2">
        <v>43892</v>
      </c>
      <c r="R66" s="14">
        <v>4382.18</v>
      </c>
      <c r="S66" s="14">
        <v>1292.53</v>
      </c>
    </row>
    <row r="67" spans="2:19" x14ac:dyDescent="0.2">
      <c r="B67" s="2">
        <v>43893</v>
      </c>
      <c r="C67" s="14">
        <v>4268.59</v>
      </c>
      <c r="D67" s="14">
        <v>4382.18</v>
      </c>
      <c r="Q67" s="2">
        <v>43893</v>
      </c>
      <c r="R67" s="14">
        <v>4268.59</v>
      </c>
      <c r="S67" s="14">
        <v>3804.66</v>
      </c>
    </row>
    <row r="68" spans="2:19" x14ac:dyDescent="0.2">
      <c r="B68" s="2">
        <v>43894</v>
      </c>
      <c r="C68" s="14">
        <v>4351.16</v>
      </c>
      <c r="D68" s="14">
        <v>4268.59</v>
      </c>
      <c r="Q68" s="2">
        <v>43894</v>
      </c>
      <c r="R68" s="14">
        <v>4351.16</v>
      </c>
      <c r="S68" s="14">
        <v>5865.61</v>
      </c>
    </row>
    <row r="69" spans="2:19" x14ac:dyDescent="0.2">
      <c r="B69" s="2">
        <v>43895</v>
      </c>
      <c r="C69" s="14">
        <v>5591.68</v>
      </c>
      <c r="D69" s="14">
        <v>4351.16</v>
      </c>
      <c r="Q69" s="2">
        <v>43895</v>
      </c>
      <c r="R69" s="14">
        <v>5591.68</v>
      </c>
      <c r="S69" s="14">
        <v>4695.43</v>
      </c>
    </row>
    <row r="70" spans="2:19" x14ac:dyDescent="0.2">
      <c r="B70" s="2">
        <v>43896</v>
      </c>
      <c r="C70" s="14">
        <v>4368.5200000000004</v>
      </c>
      <c r="D70" s="14">
        <v>5591.68</v>
      </c>
      <c r="Q70" s="2">
        <v>43896</v>
      </c>
      <c r="R70" s="14">
        <v>4368.5200000000004</v>
      </c>
      <c r="S70" s="14">
        <v>5556.72</v>
      </c>
    </row>
    <row r="71" spans="2:19" x14ac:dyDescent="0.2">
      <c r="B71" s="2">
        <v>43897</v>
      </c>
      <c r="C71" s="14">
        <v>5434.66</v>
      </c>
      <c r="D71" s="14">
        <v>4368.5200000000004</v>
      </c>
      <c r="Q71" s="2">
        <v>43897</v>
      </c>
      <c r="R71" s="14">
        <v>5434.66</v>
      </c>
      <c r="S71" s="14">
        <v>4094.02</v>
      </c>
    </row>
    <row r="72" spans="2:19" x14ac:dyDescent="0.2">
      <c r="B72" s="2">
        <v>43898</v>
      </c>
      <c r="C72" s="14">
        <v>8113.1</v>
      </c>
      <c r="D72" s="14">
        <v>5434.66</v>
      </c>
      <c r="Q72" s="2">
        <v>43898</v>
      </c>
      <c r="R72" s="14">
        <v>8113.1</v>
      </c>
      <c r="S72" s="14">
        <v>5129.88</v>
      </c>
    </row>
    <row r="73" spans="2:19" x14ac:dyDescent="0.2">
      <c r="B73" s="2">
        <v>43899</v>
      </c>
      <c r="C73" s="14">
        <v>6306.69</v>
      </c>
      <c r="D73" s="14">
        <v>8113.1</v>
      </c>
      <c r="Q73" s="2">
        <v>43899</v>
      </c>
      <c r="R73" s="14">
        <v>6306.69</v>
      </c>
      <c r="S73" s="14">
        <v>4766.4799999999996</v>
      </c>
    </row>
    <row r="74" spans="2:19" x14ac:dyDescent="0.2">
      <c r="B74" s="2">
        <v>43900</v>
      </c>
      <c r="C74" s="14">
        <v>4510.96</v>
      </c>
      <c r="D74" s="14">
        <v>6306.69</v>
      </c>
      <c r="Q74" s="2">
        <v>43900</v>
      </c>
      <c r="R74" s="14">
        <v>4510.96</v>
      </c>
      <c r="S74" s="14">
        <v>6751.67</v>
      </c>
    </row>
    <row r="75" spans="2:19" x14ac:dyDescent="0.2">
      <c r="B75" s="2">
        <v>43901</v>
      </c>
      <c r="C75" s="14">
        <v>6801.82</v>
      </c>
      <c r="D75" s="14">
        <v>4510.96</v>
      </c>
      <c r="Q75" s="2">
        <v>43901</v>
      </c>
      <c r="R75" s="14">
        <v>6801.82</v>
      </c>
      <c r="S75" s="14">
        <v>5381.63</v>
      </c>
    </row>
    <row r="76" spans="2:19" x14ac:dyDescent="0.2">
      <c r="B76" s="2">
        <v>43902</v>
      </c>
      <c r="C76" s="14">
        <v>4387.8900000000003</v>
      </c>
      <c r="D76" s="14">
        <v>6801.82</v>
      </c>
      <c r="Q76" s="2">
        <v>43902</v>
      </c>
      <c r="R76" s="14">
        <v>4387.8900000000003</v>
      </c>
      <c r="S76" s="14">
        <v>5506.4</v>
      </c>
    </row>
    <row r="77" spans="2:19" x14ac:dyDescent="0.2">
      <c r="B77" s="2">
        <v>43903</v>
      </c>
      <c r="C77" s="14">
        <v>1942.81</v>
      </c>
      <c r="D77" s="14">
        <v>4387.8900000000003</v>
      </c>
      <c r="Q77" s="2">
        <v>43903</v>
      </c>
      <c r="R77" s="14">
        <v>1942.81</v>
      </c>
      <c r="S77" s="14">
        <v>4382.18</v>
      </c>
    </row>
    <row r="78" spans="2:19" x14ac:dyDescent="0.2">
      <c r="B78" s="2">
        <v>43904</v>
      </c>
      <c r="C78" s="14">
        <v>3487.87</v>
      </c>
      <c r="D78" s="14">
        <v>1942.81</v>
      </c>
      <c r="Q78" s="2">
        <v>43904</v>
      </c>
      <c r="R78" s="14">
        <v>3487.87</v>
      </c>
      <c r="S78" s="14">
        <v>4268.59</v>
      </c>
    </row>
    <row r="79" spans="2:19" x14ac:dyDescent="0.2">
      <c r="B79" s="2">
        <v>43905</v>
      </c>
      <c r="C79" s="14">
        <v>2193.81</v>
      </c>
      <c r="D79" s="14">
        <v>3487.87</v>
      </c>
      <c r="Q79" s="2">
        <v>43905</v>
      </c>
      <c r="R79" s="14">
        <v>2193.81</v>
      </c>
      <c r="S79" s="14">
        <v>4351.16</v>
      </c>
    </row>
    <row r="80" spans="2:19" x14ac:dyDescent="0.2">
      <c r="B80" s="2">
        <v>43906</v>
      </c>
      <c r="C80" s="14">
        <v>4472.7299999999996</v>
      </c>
      <c r="D80" s="14">
        <v>2193.81</v>
      </c>
      <c r="Q80" s="2">
        <v>43906</v>
      </c>
      <c r="R80" s="14">
        <v>4472.7299999999996</v>
      </c>
      <c r="S80" s="14">
        <v>5591.68</v>
      </c>
    </row>
    <row r="81" spans="2:19" x14ac:dyDescent="0.2">
      <c r="B81" s="2">
        <v>43907</v>
      </c>
      <c r="C81" s="14">
        <v>5027.63</v>
      </c>
      <c r="D81" s="14">
        <v>4472.7299999999996</v>
      </c>
      <c r="Q81" s="2">
        <v>43907</v>
      </c>
      <c r="R81" s="14">
        <v>5027.63</v>
      </c>
      <c r="S81" s="14">
        <v>4368.5200000000004</v>
      </c>
    </row>
    <row r="82" spans="2:19" x14ac:dyDescent="0.2">
      <c r="B82" s="2">
        <v>43908</v>
      </c>
      <c r="C82" s="14">
        <v>7514.66</v>
      </c>
      <c r="D82" s="14">
        <v>5027.63</v>
      </c>
      <c r="Q82" s="2">
        <v>43908</v>
      </c>
      <c r="R82" s="14">
        <v>7514.66</v>
      </c>
      <c r="S82" s="14">
        <v>5434.66</v>
      </c>
    </row>
    <row r="83" spans="2:19" x14ac:dyDescent="0.2">
      <c r="B83" s="2">
        <v>43909</v>
      </c>
      <c r="C83" s="14">
        <v>5490.39</v>
      </c>
      <c r="D83" s="14">
        <v>7514.66</v>
      </c>
      <c r="Q83" s="2">
        <v>43909</v>
      </c>
      <c r="R83" s="14">
        <v>5490.39</v>
      </c>
      <c r="S83" s="14">
        <v>8113.1</v>
      </c>
    </row>
    <row r="84" spans="2:19" x14ac:dyDescent="0.2">
      <c r="B84" s="2">
        <v>43910</v>
      </c>
      <c r="C84" s="14">
        <v>4671.3500000000004</v>
      </c>
      <c r="D84" s="14">
        <v>5490.39</v>
      </c>
      <c r="Q84" s="2">
        <v>43910</v>
      </c>
      <c r="R84" s="14">
        <v>4671.3500000000004</v>
      </c>
      <c r="S84" s="14">
        <v>6306.69</v>
      </c>
    </row>
    <row r="85" spans="2:19" x14ac:dyDescent="0.2">
      <c r="B85" s="2">
        <v>43911</v>
      </c>
      <c r="C85" s="14">
        <v>6244.11</v>
      </c>
      <c r="D85" s="14">
        <v>4671.3500000000004</v>
      </c>
      <c r="Q85" s="2">
        <v>43911</v>
      </c>
      <c r="R85" s="14">
        <v>6244.11</v>
      </c>
      <c r="S85" s="14">
        <v>4510.96</v>
      </c>
    </row>
    <row r="86" spans="2:19" x14ac:dyDescent="0.2">
      <c r="B86" s="2">
        <v>43912</v>
      </c>
      <c r="C86" s="14">
        <v>1683.3</v>
      </c>
      <c r="D86" s="14">
        <v>6244.11</v>
      </c>
      <c r="Q86" s="2">
        <v>43912</v>
      </c>
      <c r="R86" s="14">
        <v>1683.3</v>
      </c>
      <c r="S86" s="14">
        <v>6801.82</v>
      </c>
    </row>
    <row r="87" spans="2:19" x14ac:dyDescent="0.2">
      <c r="B87" s="2">
        <v>43913</v>
      </c>
      <c r="C87" s="14">
        <v>5353.42</v>
      </c>
      <c r="D87" s="14">
        <v>1683.3</v>
      </c>
      <c r="Q87" s="2">
        <v>43913</v>
      </c>
      <c r="R87" s="14">
        <v>5353.42</v>
      </c>
      <c r="S87" s="14">
        <v>4387.8900000000003</v>
      </c>
    </row>
    <row r="88" spans="2:19" x14ac:dyDescent="0.2">
      <c r="B88" s="2">
        <v>43914</v>
      </c>
      <c r="C88" s="14">
        <v>6156.3</v>
      </c>
      <c r="D88" s="14">
        <v>5353.42</v>
      </c>
      <c r="Q88" s="2">
        <v>43914</v>
      </c>
      <c r="R88" s="14">
        <v>6156.3</v>
      </c>
      <c r="S88" s="14">
        <v>1942.81</v>
      </c>
    </row>
    <row r="89" spans="2:19" x14ac:dyDescent="0.2">
      <c r="B89" s="2">
        <v>43915</v>
      </c>
      <c r="C89" s="14">
        <v>2782.12</v>
      </c>
      <c r="D89" s="14">
        <v>6156.3</v>
      </c>
      <c r="Q89" s="2">
        <v>43915</v>
      </c>
      <c r="R89" s="14">
        <v>2782.12</v>
      </c>
      <c r="S89" s="14">
        <v>3487.87</v>
      </c>
    </row>
    <row r="90" spans="2:19" x14ac:dyDescent="0.2">
      <c r="B90" s="2">
        <v>43916</v>
      </c>
      <c r="C90" s="14">
        <v>6715.63</v>
      </c>
      <c r="D90" s="14">
        <v>2782.12</v>
      </c>
      <c r="Q90" s="2">
        <v>43916</v>
      </c>
      <c r="R90" s="14">
        <v>6715.63</v>
      </c>
      <c r="S90" s="14">
        <v>2193.81</v>
      </c>
    </row>
    <row r="91" spans="2:19" x14ac:dyDescent="0.2">
      <c r="B91" s="2">
        <v>43917</v>
      </c>
      <c r="C91" s="14">
        <v>5507.74</v>
      </c>
      <c r="D91" s="14">
        <v>6715.63</v>
      </c>
      <c r="Q91" s="2">
        <v>43917</v>
      </c>
      <c r="R91" s="14">
        <v>5507.74</v>
      </c>
      <c r="S91" s="14">
        <v>4472.7299999999996</v>
      </c>
    </row>
    <row r="92" spans="2:19" x14ac:dyDescent="0.2">
      <c r="B92" s="2">
        <v>43918</v>
      </c>
      <c r="C92" s="14">
        <v>4377.07</v>
      </c>
      <c r="D92" s="14">
        <v>5507.74</v>
      </c>
      <c r="Q92" s="2">
        <v>43918</v>
      </c>
      <c r="R92" s="14">
        <v>4377.07</v>
      </c>
      <c r="S92" s="14">
        <v>5027.63</v>
      </c>
    </row>
    <row r="93" spans="2:19" x14ac:dyDescent="0.2">
      <c r="B93" s="2">
        <v>43919</v>
      </c>
      <c r="C93" s="14">
        <v>5949.17</v>
      </c>
      <c r="D93" s="14">
        <v>4377.07</v>
      </c>
      <c r="Q93" s="2">
        <v>43919</v>
      </c>
      <c r="R93" s="14">
        <v>5949.17</v>
      </c>
      <c r="S93" s="14">
        <v>7514.66</v>
      </c>
    </row>
    <row r="94" spans="2:19" x14ac:dyDescent="0.2">
      <c r="B94" s="2">
        <v>43920</v>
      </c>
      <c r="C94" s="14">
        <v>8406.0400000000009</v>
      </c>
      <c r="D94" s="14">
        <v>5949.17</v>
      </c>
      <c r="Q94" s="2">
        <v>43920</v>
      </c>
      <c r="R94" s="14">
        <v>8406.0400000000009</v>
      </c>
      <c r="S94" s="14">
        <v>5490.39</v>
      </c>
    </row>
    <row r="95" spans="2:19" x14ac:dyDescent="0.2">
      <c r="B95" s="2">
        <v>43921</v>
      </c>
      <c r="C95" s="14">
        <v>5272.8</v>
      </c>
      <c r="D95" s="14">
        <v>8406.0400000000009</v>
      </c>
      <c r="Q95" s="2">
        <v>43921</v>
      </c>
      <c r="R95" s="14">
        <v>5272.8</v>
      </c>
      <c r="S95" s="14">
        <v>4671.3500000000004</v>
      </c>
    </row>
    <row r="96" spans="2:19" x14ac:dyDescent="0.2">
      <c r="B96" s="2">
        <v>43922</v>
      </c>
      <c r="C96" s="14">
        <v>5372.33</v>
      </c>
      <c r="D96" s="14">
        <v>5272.8</v>
      </c>
      <c r="Q96" s="2">
        <v>43922</v>
      </c>
      <c r="R96" s="14">
        <v>5372.33</v>
      </c>
      <c r="S96" s="14">
        <v>6244.11</v>
      </c>
    </row>
    <row r="97" spans="2:19" x14ac:dyDescent="0.2">
      <c r="B97" s="2">
        <v>43923</v>
      </c>
      <c r="C97" s="14">
        <v>4310.96</v>
      </c>
      <c r="D97" s="14">
        <v>5372.33</v>
      </c>
      <c r="Q97" s="2">
        <v>43923</v>
      </c>
      <c r="R97" s="14">
        <v>4310.96</v>
      </c>
      <c r="S97" s="14">
        <v>1683.3</v>
      </c>
    </row>
    <row r="98" spans="2:19" x14ac:dyDescent="0.2">
      <c r="B98" s="2">
        <v>43924</v>
      </c>
      <c r="C98" s="14">
        <v>3725.23</v>
      </c>
      <c r="D98" s="14">
        <v>4310.96</v>
      </c>
      <c r="Q98" s="2">
        <v>43924</v>
      </c>
      <c r="R98" s="14">
        <v>3725.23</v>
      </c>
      <c r="S98" s="14">
        <v>5353.42</v>
      </c>
    </row>
    <row r="99" spans="2:19" x14ac:dyDescent="0.2">
      <c r="B99" s="2">
        <v>43925</v>
      </c>
      <c r="C99" s="14">
        <v>6245.5</v>
      </c>
      <c r="D99" s="14">
        <v>3725.23</v>
      </c>
      <c r="Q99" s="2">
        <v>43925</v>
      </c>
      <c r="R99" s="14">
        <v>6245.5</v>
      </c>
      <c r="S99" s="14">
        <v>6156.3</v>
      </c>
    </row>
    <row r="100" spans="2:19" x14ac:dyDescent="0.2">
      <c r="B100" s="2">
        <v>43926</v>
      </c>
      <c r="C100" s="14">
        <v>3715.87</v>
      </c>
      <c r="D100" s="14">
        <v>6245.5</v>
      </c>
      <c r="Q100" s="2">
        <v>43926</v>
      </c>
      <c r="R100" s="14">
        <v>3715.87</v>
      </c>
      <c r="S100" s="14">
        <v>2782.12</v>
      </c>
    </row>
    <row r="101" spans="2:19" x14ac:dyDescent="0.2">
      <c r="B101" s="2">
        <v>43927</v>
      </c>
      <c r="C101" s="14">
        <v>5107.3500000000004</v>
      </c>
      <c r="D101" s="14">
        <v>3715.87</v>
      </c>
      <c r="Q101" s="2">
        <v>43927</v>
      </c>
      <c r="R101" s="14">
        <v>5107.3500000000004</v>
      </c>
      <c r="S101" s="14">
        <v>6715.63</v>
      </c>
    </row>
    <row r="102" spans="2:19" x14ac:dyDescent="0.2">
      <c r="B102" s="2">
        <v>43928</v>
      </c>
      <c r="C102" s="14">
        <v>4283.51</v>
      </c>
      <c r="D102" s="14">
        <v>5107.3500000000004</v>
      </c>
      <c r="Q102" s="2">
        <v>43928</v>
      </c>
      <c r="R102" s="14">
        <v>4283.51</v>
      </c>
      <c r="S102" s="14">
        <v>5507.74</v>
      </c>
    </row>
    <row r="103" spans="2:19" x14ac:dyDescent="0.2">
      <c r="B103" s="2">
        <v>43929</v>
      </c>
      <c r="C103" s="14">
        <v>5718.47</v>
      </c>
      <c r="D103" s="14">
        <v>4283.51</v>
      </c>
      <c r="Q103" s="2">
        <v>43929</v>
      </c>
      <c r="R103" s="14">
        <v>5718.47</v>
      </c>
      <c r="S103" s="14">
        <v>4377.07</v>
      </c>
    </row>
    <row r="104" spans="2:19" x14ac:dyDescent="0.2">
      <c r="B104" s="2">
        <v>43930</v>
      </c>
      <c r="C104" s="14">
        <v>5500.49</v>
      </c>
      <c r="D104" s="14">
        <v>5718.47</v>
      </c>
      <c r="Q104" s="2">
        <v>43930</v>
      </c>
      <c r="R104" s="14">
        <v>5500.49</v>
      </c>
      <c r="S104" s="14">
        <v>5949.17</v>
      </c>
    </row>
    <row r="105" spans="2:19" x14ac:dyDescent="0.2">
      <c r="B105" s="2">
        <v>43931</v>
      </c>
      <c r="C105" s="14">
        <v>6556.31</v>
      </c>
      <c r="D105" s="14">
        <v>5500.49</v>
      </c>
      <c r="Q105" s="2">
        <v>43931</v>
      </c>
      <c r="R105" s="14">
        <v>6556.31</v>
      </c>
      <c r="S105" s="14">
        <v>8406.0400000000009</v>
      </c>
    </row>
    <row r="106" spans="2:19" x14ac:dyDescent="0.2">
      <c r="B106" s="2">
        <v>43932</v>
      </c>
      <c r="C106" s="14">
        <v>4234.9799999999996</v>
      </c>
      <c r="D106" s="14">
        <v>6556.31</v>
      </c>
      <c r="Q106" s="2">
        <v>43932</v>
      </c>
      <c r="R106" s="14">
        <v>4234.9799999999996</v>
      </c>
      <c r="S106" s="14">
        <v>5272.8</v>
      </c>
    </row>
    <row r="107" spans="2:19" x14ac:dyDescent="0.2">
      <c r="B107" s="2">
        <v>43933</v>
      </c>
      <c r="C107" s="14">
        <v>4595.1899999999996</v>
      </c>
      <c r="D107" s="14">
        <v>4234.9799999999996</v>
      </c>
      <c r="Q107" s="2">
        <v>43933</v>
      </c>
      <c r="R107" s="14">
        <v>4595.1899999999996</v>
      </c>
      <c r="S107" s="14">
        <v>5372.33</v>
      </c>
    </row>
    <row r="108" spans="2:19" x14ac:dyDescent="0.2">
      <c r="B108" s="2">
        <v>43934</v>
      </c>
      <c r="C108" s="14">
        <v>3531.85</v>
      </c>
      <c r="D108" s="14">
        <v>4595.1899999999996</v>
      </c>
      <c r="Q108" s="2">
        <v>43934</v>
      </c>
      <c r="R108" s="14">
        <v>3531.85</v>
      </c>
      <c r="S108" s="14">
        <v>4310.96</v>
      </c>
    </row>
    <row r="109" spans="2:19" x14ac:dyDescent="0.2">
      <c r="B109" s="2">
        <v>43935</v>
      </c>
      <c r="C109" s="14">
        <v>4333.5600000000004</v>
      </c>
      <c r="D109" s="14">
        <v>3531.85</v>
      </c>
      <c r="Q109" s="2">
        <v>43935</v>
      </c>
      <c r="R109" s="14">
        <v>4333.5600000000004</v>
      </c>
      <c r="S109" s="14">
        <v>3725.23</v>
      </c>
    </row>
    <row r="110" spans="2:19" x14ac:dyDescent="0.2">
      <c r="B110" s="2">
        <v>43936</v>
      </c>
      <c r="C110" s="14">
        <v>5565.95</v>
      </c>
      <c r="D110" s="14">
        <v>4333.5600000000004</v>
      </c>
      <c r="Q110" s="2">
        <v>43936</v>
      </c>
      <c r="R110" s="14">
        <v>5565.95</v>
      </c>
      <c r="S110" s="14">
        <v>6245.5</v>
      </c>
    </row>
    <row r="111" spans="2:19" x14ac:dyDescent="0.2">
      <c r="B111" s="2">
        <v>43937</v>
      </c>
      <c r="C111" s="14">
        <v>6135.48</v>
      </c>
      <c r="D111" s="14">
        <v>5565.95</v>
      </c>
      <c r="Q111" s="2">
        <v>43937</v>
      </c>
      <c r="R111" s="14">
        <v>6135.48</v>
      </c>
      <c r="S111" s="14">
        <v>3715.87</v>
      </c>
    </row>
    <row r="112" spans="2:19" x14ac:dyDescent="0.2">
      <c r="B112" s="2">
        <v>43938</v>
      </c>
      <c r="C112" s="14">
        <v>3616.75</v>
      </c>
      <c r="D112" s="14">
        <v>6135.48</v>
      </c>
      <c r="Q112" s="2">
        <v>43938</v>
      </c>
      <c r="R112" s="14">
        <v>3616.75</v>
      </c>
      <c r="S112" s="14">
        <v>5107.3500000000004</v>
      </c>
    </row>
    <row r="113" spans="2:19" x14ac:dyDescent="0.2">
      <c r="B113" s="2">
        <v>43939</v>
      </c>
      <c r="C113" s="14">
        <v>6304.41</v>
      </c>
      <c r="D113" s="14">
        <v>3616.75</v>
      </c>
      <c r="Q113" s="2">
        <v>43939</v>
      </c>
      <c r="R113" s="14">
        <v>6304.41</v>
      </c>
      <c r="S113" s="14">
        <v>4283.51</v>
      </c>
    </row>
    <row r="114" spans="2:19" x14ac:dyDescent="0.2">
      <c r="B114" s="2">
        <v>43940</v>
      </c>
      <c r="C114" s="14">
        <v>7033.46</v>
      </c>
      <c r="D114" s="14">
        <v>6304.41</v>
      </c>
      <c r="Q114" s="2">
        <v>43940</v>
      </c>
      <c r="R114" s="14">
        <v>7033.46</v>
      </c>
      <c r="S114" s="14">
        <v>5718.47</v>
      </c>
    </row>
    <row r="115" spans="2:19" x14ac:dyDescent="0.2">
      <c r="B115" s="2">
        <v>43941</v>
      </c>
      <c r="C115" s="14">
        <v>5620.15</v>
      </c>
      <c r="D115" s="14">
        <v>7033.46</v>
      </c>
      <c r="Q115" s="2">
        <v>43941</v>
      </c>
      <c r="R115" s="14">
        <v>5620.15</v>
      </c>
      <c r="S115" s="14">
        <v>5500.49</v>
      </c>
    </row>
    <row r="116" spans="2:19" x14ac:dyDescent="0.2">
      <c r="B116" s="2">
        <v>43942</v>
      </c>
      <c r="C116" s="14">
        <v>7815.19</v>
      </c>
      <c r="D116" s="14">
        <v>5620.15</v>
      </c>
      <c r="Q116" s="2">
        <v>43942</v>
      </c>
      <c r="R116" s="14">
        <v>7815.19</v>
      </c>
      <c r="S116" s="14">
        <v>6556.31</v>
      </c>
    </row>
    <row r="117" spans="2:19" x14ac:dyDescent="0.2">
      <c r="B117" s="2">
        <v>43943</v>
      </c>
      <c r="C117" s="14">
        <v>3839.32</v>
      </c>
      <c r="D117" s="14">
        <v>7815.19</v>
      </c>
      <c r="Q117" s="2">
        <v>43943</v>
      </c>
      <c r="R117" s="14">
        <v>3839.32</v>
      </c>
      <c r="S117" s="14">
        <v>4234.9799999999996</v>
      </c>
    </row>
    <row r="118" spans="2:19" x14ac:dyDescent="0.2">
      <c r="B118" s="2">
        <v>43944</v>
      </c>
      <c r="C118" s="14">
        <v>3133.02</v>
      </c>
      <c r="D118" s="14">
        <v>3839.32</v>
      </c>
      <c r="Q118" s="2">
        <v>43944</v>
      </c>
      <c r="R118" s="14">
        <v>3133.02</v>
      </c>
      <c r="S118" s="14">
        <v>4595.1899999999996</v>
      </c>
    </row>
    <row r="119" spans="2:19" x14ac:dyDescent="0.2">
      <c r="B119" s="2">
        <v>43945</v>
      </c>
      <c r="C119" s="14">
        <v>2331.92</v>
      </c>
      <c r="D119" s="14">
        <v>3133.02</v>
      </c>
      <c r="Q119" s="2">
        <v>43945</v>
      </c>
      <c r="R119" s="14">
        <v>2331.92</v>
      </c>
      <c r="S119" s="14">
        <v>3531.85</v>
      </c>
    </row>
    <row r="120" spans="2:19" x14ac:dyDescent="0.2">
      <c r="B120" s="2">
        <v>43946</v>
      </c>
      <c r="C120" s="14">
        <v>7244.07</v>
      </c>
      <c r="D120" s="14">
        <v>2331.92</v>
      </c>
      <c r="Q120" s="2">
        <v>43946</v>
      </c>
      <c r="R120" s="14">
        <v>7244.07</v>
      </c>
      <c r="S120" s="14">
        <v>4333.5600000000004</v>
      </c>
    </row>
    <row r="121" spans="2:19" x14ac:dyDescent="0.2">
      <c r="B121" s="2">
        <v>43947</v>
      </c>
      <c r="C121" s="14">
        <v>5981.55</v>
      </c>
      <c r="D121" s="14">
        <v>7244.07</v>
      </c>
      <c r="Q121" s="2">
        <v>43947</v>
      </c>
      <c r="R121" s="14">
        <v>5981.55</v>
      </c>
      <c r="S121" s="14">
        <v>5565.95</v>
      </c>
    </row>
    <row r="122" spans="2:19" x14ac:dyDescent="0.2">
      <c r="B122" s="2">
        <v>43948</v>
      </c>
      <c r="C122" s="14">
        <v>4916.62</v>
      </c>
      <c r="D122" s="14">
        <v>5981.55</v>
      </c>
      <c r="Q122" s="2">
        <v>43948</v>
      </c>
      <c r="R122" s="14">
        <v>4916.62</v>
      </c>
      <c r="S122" s="14">
        <v>6135.48</v>
      </c>
    </row>
    <row r="123" spans="2:19" x14ac:dyDescent="0.2">
      <c r="B123" s="2">
        <v>43949</v>
      </c>
      <c r="C123" s="14">
        <v>5419.95</v>
      </c>
      <c r="D123" s="14">
        <v>4916.62</v>
      </c>
      <c r="Q123" s="2">
        <v>43949</v>
      </c>
      <c r="R123" s="14">
        <v>5419.95</v>
      </c>
      <c r="S123" s="14">
        <v>3616.75</v>
      </c>
    </row>
    <row r="124" spans="2:19" x14ac:dyDescent="0.2">
      <c r="B124" s="2">
        <v>43950</v>
      </c>
      <c r="C124" s="14">
        <v>3311.77</v>
      </c>
      <c r="D124" s="14">
        <v>5419.95</v>
      </c>
      <c r="Q124" s="2">
        <v>43950</v>
      </c>
      <c r="R124" s="14">
        <v>3311.77</v>
      </c>
      <c r="S124" s="14">
        <v>6304.41</v>
      </c>
    </row>
    <row r="125" spans="2:19" x14ac:dyDescent="0.2">
      <c r="B125" s="2">
        <v>43951</v>
      </c>
      <c r="C125" s="14">
        <v>8668.6299999999992</v>
      </c>
      <c r="D125" s="14">
        <v>3311.77</v>
      </c>
      <c r="Q125" s="2">
        <v>43951</v>
      </c>
      <c r="R125" s="14">
        <v>8668.6299999999992</v>
      </c>
      <c r="S125" s="14">
        <v>7033.46</v>
      </c>
    </row>
    <row r="126" spans="2:19" x14ac:dyDescent="0.2">
      <c r="B126" s="2">
        <v>43952</v>
      </c>
      <c r="C126" s="14">
        <v>5193.83</v>
      </c>
      <c r="D126" s="14">
        <v>8668.6299999999992</v>
      </c>
      <c r="Q126" s="2">
        <v>43952</v>
      </c>
      <c r="R126" s="14">
        <v>5193.83</v>
      </c>
      <c r="S126" s="14">
        <v>5620.15</v>
      </c>
    </row>
    <row r="127" spans="2:19" x14ac:dyDescent="0.2">
      <c r="B127" s="2">
        <v>43953</v>
      </c>
      <c r="C127" s="14">
        <v>5164.09</v>
      </c>
      <c r="D127" s="14">
        <v>5193.83</v>
      </c>
      <c r="Q127" s="2">
        <v>43953</v>
      </c>
      <c r="R127" s="14">
        <v>5164.09</v>
      </c>
      <c r="S127" s="14">
        <v>7815.19</v>
      </c>
    </row>
    <row r="128" spans="2:19" x14ac:dyDescent="0.2">
      <c r="B128" s="2">
        <v>43954</v>
      </c>
      <c r="C128" s="14">
        <v>6088.65</v>
      </c>
      <c r="D128" s="14">
        <v>5164.09</v>
      </c>
      <c r="Q128" s="2">
        <v>43954</v>
      </c>
      <c r="R128" s="14">
        <v>6088.65</v>
      </c>
      <c r="S128" s="14">
        <v>3839.32</v>
      </c>
    </row>
    <row r="129" spans="2:19" x14ac:dyDescent="0.2">
      <c r="B129" s="2">
        <v>43955</v>
      </c>
      <c r="C129" s="14">
        <v>5721.51</v>
      </c>
      <c r="D129" s="14">
        <v>6088.65</v>
      </c>
      <c r="Q129" s="2">
        <v>43955</v>
      </c>
      <c r="R129" s="14">
        <v>5721.51</v>
      </c>
      <c r="S129" s="14">
        <v>3133.02</v>
      </c>
    </row>
    <row r="130" spans="2:19" x14ac:dyDescent="0.2">
      <c r="B130" s="2">
        <v>43956</v>
      </c>
      <c r="C130" s="14">
        <v>5335.83</v>
      </c>
      <c r="D130" s="14">
        <v>5721.51</v>
      </c>
      <c r="Q130" s="2">
        <v>43956</v>
      </c>
      <c r="R130" s="14">
        <v>5335.83</v>
      </c>
      <c r="S130" s="14">
        <v>2331.92</v>
      </c>
    </row>
    <row r="131" spans="2:19" x14ac:dyDescent="0.2">
      <c r="B131" s="2">
        <v>43957</v>
      </c>
      <c r="C131" s="14">
        <v>3814.29</v>
      </c>
      <c r="D131" s="14">
        <v>5335.83</v>
      </c>
      <c r="Q131" s="2">
        <v>43957</v>
      </c>
      <c r="R131" s="14">
        <v>3814.29</v>
      </c>
      <c r="S131" s="14">
        <v>7244.07</v>
      </c>
    </row>
    <row r="132" spans="2:19" x14ac:dyDescent="0.2">
      <c r="B132" s="2">
        <v>43958</v>
      </c>
      <c r="C132" s="14">
        <v>5707.2</v>
      </c>
      <c r="D132" s="14">
        <v>3814.29</v>
      </c>
      <c r="Q132" s="2">
        <v>43958</v>
      </c>
      <c r="R132" s="14">
        <v>5707.2</v>
      </c>
      <c r="S132" s="14">
        <v>5981.55</v>
      </c>
    </row>
    <row r="133" spans="2:19" x14ac:dyDescent="0.2">
      <c r="B133" s="2">
        <v>43959</v>
      </c>
      <c r="C133" s="14">
        <v>7823.04</v>
      </c>
      <c r="D133" s="14">
        <v>5707.2</v>
      </c>
      <c r="Q133" s="2">
        <v>43959</v>
      </c>
      <c r="R133" s="14">
        <v>7823.04</v>
      </c>
      <c r="S133" s="14">
        <v>4916.62</v>
      </c>
    </row>
    <row r="134" spans="2:19" x14ac:dyDescent="0.2">
      <c r="B134" s="2">
        <v>43960</v>
      </c>
      <c r="C134" s="14">
        <v>7018.13</v>
      </c>
      <c r="D134" s="14">
        <v>7823.04</v>
      </c>
      <c r="Q134" s="2">
        <v>43960</v>
      </c>
      <c r="R134" s="14">
        <v>7018.13</v>
      </c>
      <c r="S134" s="14">
        <v>5419.95</v>
      </c>
    </row>
    <row r="135" spans="2:19" x14ac:dyDescent="0.2">
      <c r="B135" s="2">
        <v>43961</v>
      </c>
      <c r="C135" s="14">
        <v>7389.78</v>
      </c>
      <c r="D135" s="14">
        <v>7018.13</v>
      </c>
      <c r="Q135" s="2">
        <v>43961</v>
      </c>
      <c r="R135" s="14">
        <v>7389.78</v>
      </c>
      <c r="S135" s="14">
        <v>3311.77</v>
      </c>
    </row>
    <row r="136" spans="2:19" x14ac:dyDescent="0.2">
      <c r="B136" s="2">
        <v>43962</v>
      </c>
      <c r="C136" s="14">
        <v>4233.18</v>
      </c>
      <c r="D136" s="14">
        <v>7389.78</v>
      </c>
      <c r="Q136" s="2">
        <v>43962</v>
      </c>
      <c r="R136" s="14">
        <v>4233.18</v>
      </c>
      <c r="S136" s="14">
        <v>8668.6299999999992</v>
      </c>
    </row>
    <row r="137" spans="2:19" x14ac:dyDescent="0.2">
      <c r="B137" s="2">
        <v>43963</v>
      </c>
      <c r="C137" s="14">
        <v>3515.59</v>
      </c>
      <c r="D137" s="14">
        <v>4233.18</v>
      </c>
      <c r="Q137" s="2">
        <v>43963</v>
      </c>
      <c r="R137" s="14">
        <v>3515.59</v>
      </c>
      <c r="S137" s="14">
        <v>5193.83</v>
      </c>
    </row>
    <row r="138" spans="2:19" x14ac:dyDescent="0.2">
      <c r="B138" s="2">
        <v>43964</v>
      </c>
      <c r="C138" s="14">
        <v>4811.32</v>
      </c>
      <c r="D138" s="14">
        <v>3515.59</v>
      </c>
      <c r="Q138" s="2">
        <v>43964</v>
      </c>
      <c r="R138" s="14">
        <v>4811.32</v>
      </c>
      <c r="S138" s="14">
        <v>5164.09</v>
      </c>
    </row>
    <row r="139" spans="2:19" x14ac:dyDescent="0.2">
      <c r="B139" s="2">
        <v>43965</v>
      </c>
      <c r="C139" s="14">
        <v>5083.59</v>
      </c>
      <c r="D139" s="14">
        <v>4811.32</v>
      </c>
      <c r="Q139" s="2">
        <v>43965</v>
      </c>
      <c r="R139" s="14">
        <v>5083.59</v>
      </c>
      <c r="S139" s="14">
        <v>6088.65</v>
      </c>
    </row>
    <row r="140" spans="2:19" x14ac:dyDescent="0.2">
      <c r="B140" s="2">
        <v>43966</v>
      </c>
      <c r="C140" s="14">
        <v>6641.29</v>
      </c>
      <c r="D140" s="14">
        <v>5083.59</v>
      </c>
      <c r="Q140" s="2">
        <v>43966</v>
      </c>
      <c r="R140" s="14">
        <v>6641.29</v>
      </c>
      <c r="S140" s="14">
        <v>5721.51</v>
      </c>
    </row>
    <row r="141" spans="2:19" x14ac:dyDescent="0.2">
      <c r="B141" s="2">
        <v>43967</v>
      </c>
      <c r="C141" s="14">
        <v>2461.3000000000002</v>
      </c>
      <c r="D141" s="14">
        <v>6641.29</v>
      </c>
      <c r="Q141" s="2">
        <v>43967</v>
      </c>
      <c r="R141" s="14">
        <v>2461.3000000000002</v>
      </c>
      <c r="S141" s="14">
        <v>5335.83</v>
      </c>
    </row>
    <row r="142" spans="2:19" x14ac:dyDescent="0.2">
      <c r="B142" s="2">
        <v>43968</v>
      </c>
      <c r="C142" s="14">
        <v>7294.33</v>
      </c>
      <c r="D142" s="14">
        <v>2461.3000000000002</v>
      </c>
      <c r="Q142" s="2">
        <v>43968</v>
      </c>
      <c r="R142" s="14">
        <v>7294.33</v>
      </c>
      <c r="S142" s="14">
        <v>3814.29</v>
      </c>
    </row>
    <row r="143" spans="2:19" x14ac:dyDescent="0.2">
      <c r="B143" s="2">
        <v>43969</v>
      </c>
      <c r="C143" s="14">
        <v>4762.99</v>
      </c>
      <c r="D143" s="14">
        <v>7294.33</v>
      </c>
      <c r="Q143" s="2">
        <v>43969</v>
      </c>
      <c r="R143" s="14">
        <v>4762.99</v>
      </c>
      <c r="S143" s="14">
        <v>5707.2</v>
      </c>
    </row>
    <row r="144" spans="2:19" x14ac:dyDescent="0.2">
      <c r="B144" s="2">
        <v>43970</v>
      </c>
      <c r="C144" s="14">
        <v>4359.68</v>
      </c>
      <c r="D144" s="14">
        <v>4762.99</v>
      </c>
      <c r="Q144" s="2">
        <v>43970</v>
      </c>
      <c r="R144" s="14">
        <v>4359.68</v>
      </c>
      <c r="S144" s="14">
        <v>7823.04</v>
      </c>
    </row>
    <row r="145" spans="2:19" x14ac:dyDescent="0.2">
      <c r="B145" s="2">
        <v>43971</v>
      </c>
      <c r="C145" s="14">
        <v>3481.84</v>
      </c>
      <c r="D145" s="14">
        <v>4359.68</v>
      </c>
      <c r="Q145" s="2">
        <v>43971</v>
      </c>
      <c r="R145" s="14">
        <v>3481.84</v>
      </c>
      <c r="S145" s="14">
        <v>7018.13</v>
      </c>
    </row>
    <row r="146" spans="2:19" x14ac:dyDescent="0.2">
      <c r="B146" s="2">
        <v>43972</v>
      </c>
      <c r="C146" s="14">
        <v>2517.71</v>
      </c>
      <c r="D146" s="14">
        <v>3481.84</v>
      </c>
      <c r="Q146" s="2">
        <v>43972</v>
      </c>
      <c r="R146" s="14">
        <v>2517.71</v>
      </c>
      <c r="S146" s="14">
        <v>7389.78</v>
      </c>
    </row>
    <row r="147" spans="2:19" x14ac:dyDescent="0.2">
      <c r="B147" s="2">
        <v>43973</v>
      </c>
      <c r="C147" s="14">
        <v>6234.76</v>
      </c>
      <c r="D147" s="14">
        <v>2517.71</v>
      </c>
      <c r="Q147" s="2">
        <v>43973</v>
      </c>
      <c r="R147" s="14">
        <v>6234.76</v>
      </c>
      <c r="S147" s="14">
        <v>4233.18</v>
      </c>
    </row>
    <row r="148" spans="2:19" x14ac:dyDescent="0.2">
      <c r="B148" s="2">
        <v>43974</v>
      </c>
      <c r="C148" s="14">
        <v>5109.9799999999996</v>
      </c>
      <c r="D148" s="14">
        <v>6234.76</v>
      </c>
      <c r="Q148" s="2">
        <v>43974</v>
      </c>
      <c r="R148" s="14">
        <v>5109.9799999999996</v>
      </c>
      <c r="S148" s="14">
        <v>3515.59</v>
      </c>
    </row>
    <row r="149" spans="2:19" x14ac:dyDescent="0.2">
      <c r="B149" s="2">
        <v>43975</v>
      </c>
      <c r="C149" s="14">
        <v>3065.06</v>
      </c>
      <c r="D149" s="14">
        <v>5109.9799999999996</v>
      </c>
      <c r="Q149" s="2">
        <v>43975</v>
      </c>
      <c r="R149" s="14">
        <v>3065.06</v>
      </c>
      <c r="S149" s="14">
        <v>4811.32</v>
      </c>
    </row>
    <row r="150" spans="2:19" x14ac:dyDescent="0.2">
      <c r="B150" s="2">
        <v>43976</v>
      </c>
      <c r="C150" s="14">
        <v>3057.38</v>
      </c>
      <c r="D150" s="14">
        <v>3065.06</v>
      </c>
      <c r="Q150" s="2">
        <v>43976</v>
      </c>
      <c r="R150" s="14">
        <v>3057.38</v>
      </c>
      <c r="S150" s="14">
        <v>5083.59</v>
      </c>
    </row>
    <row r="151" spans="2:19" x14ac:dyDescent="0.2">
      <c r="B151" s="2">
        <v>43977</v>
      </c>
      <c r="C151" s="14">
        <v>4496.32</v>
      </c>
      <c r="D151" s="14">
        <v>3057.38</v>
      </c>
      <c r="Q151" s="2">
        <v>43977</v>
      </c>
      <c r="R151" s="14">
        <v>4496.32</v>
      </c>
      <c r="S151" s="14">
        <v>6641.29</v>
      </c>
    </row>
    <row r="152" spans="2:19" x14ac:dyDescent="0.2">
      <c r="B152" s="2">
        <v>43978</v>
      </c>
      <c r="C152" s="14">
        <v>7503.53</v>
      </c>
      <c r="D152" s="14">
        <v>4496.32</v>
      </c>
      <c r="Q152" s="2">
        <v>43978</v>
      </c>
      <c r="R152" s="14">
        <v>7503.53</v>
      </c>
      <c r="S152" s="14">
        <v>2461.3000000000002</v>
      </c>
    </row>
    <row r="153" spans="2:19" x14ac:dyDescent="0.2">
      <c r="B153" s="2">
        <v>43979</v>
      </c>
      <c r="C153" s="14">
        <v>4610.6099999999997</v>
      </c>
      <c r="D153" s="14">
        <v>7503.53</v>
      </c>
      <c r="Q153" s="2">
        <v>43979</v>
      </c>
      <c r="R153" s="14">
        <v>4610.6099999999997</v>
      </c>
      <c r="S153" s="14">
        <v>7294.33</v>
      </c>
    </row>
    <row r="154" spans="2:19" x14ac:dyDescent="0.2">
      <c r="B154" s="2">
        <v>43980</v>
      </c>
      <c r="C154" s="14">
        <v>2745.29</v>
      </c>
      <c r="D154" s="14">
        <v>4610.6099999999997</v>
      </c>
      <c r="Q154" s="2">
        <v>43980</v>
      </c>
      <c r="R154" s="14">
        <v>2745.29</v>
      </c>
      <c r="S154" s="14">
        <v>4762.99</v>
      </c>
    </row>
    <row r="155" spans="2:19" x14ac:dyDescent="0.2">
      <c r="B155" s="2">
        <v>43981</v>
      </c>
      <c r="C155" s="14">
        <v>4631.3900000000003</v>
      </c>
      <c r="D155" s="14">
        <v>2745.29</v>
      </c>
      <c r="Q155" s="2">
        <v>43981</v>
      </c>
      <c r="R155" s="14">
        <v>4631.3900000000003</v>
      </c>
      <c r="S155" s="14">
        <v>4359.68</v>
      </c>
    </row>
    <row r="156" spans="2:19" x14ac:dyDescent="0.2">
      <c r="B156" s="2">
        <v>43982</v>
      </c>
      <c r="C156" s="14">
        <v>4590.91</v>
      </c>
      <c r="D156" s="14">
        <v>4631.3900000000003</v>
      </c>
      <c r="Q156" s="2">
        <v>43982</v>
      </c>
      <c r="R156" s="14">
        <v>4590.91</v>
      </c>
      <c r="S156" s="14">
        <v>3481.84</v>
      </c>
    </row>
    <row r="157" spans="2:19" x14ac:dyDescent="0.2">
      <c r="B157" s="2">
        <v>43983</v>
      </c>
      <c r="C157" s="14">
        <v>954.67</v>
      </c>
      <c r="D157" s="14">
        <v>4590.91</v>
      </c>
      <c r="Q157" s="2">
        <v>43983</v>
      </c>
      <c r="R157" s="14">
        <v>954.67</v>
      </c>
      <c r="S157" s="14">
        <v>2517.71</v>
      </c>
    </row>
    <row r="158" spans="2:19" x14ac:dyDescent="0.2">
      <c r="B158" s="2">
        <v>43984</v>
      </c>
      <c r="C158" s="14">
        <v>4918.5600000000004</v>
      </c>
      <c r="D158" s="14">
        <v>954.67</v>
      </c>
      <c r="Q158" s="2">
        <v>43984</v>
      </c>
      <c r="R158" s="14">
        <v>4918.5600000000004</v>
      </c>
      <c r="S158" s="14">
        <v>6234.76</v>
      </c>
    </row>
    <row r="159" spans="2:19" x14ac:dyDescent="0.2">
      <c r="B159" s="2">
        <v>43985</v>
      </c>
      <c r="C159" s="14">
        <v>4653.6000000000004</v>
      </c>
      <c r="D159" s="14">
        <v>4918.5600000000004</v>
      </c>
      <c r="Q159" s="2">
        <v>43985</v>
      </c>
      <c r="R159" s="14">
        <v>4653.6000000000004</v>
      </c>
      <c r="S159" s="14">
        <v>5109.9799999999996</v>
      </c>
    </row>
    <row r="160" spans="2:19" x14ac:dyDescent="0.2">
      <c r="B160" s="2">
        <v>43986</v>
      </c>
      <c r="C160" s="14">
        <v>6044.31</v>
      </c>
      <c r="D160" s="14">
        <v>4653.6000000000004</v>
      </c>
      <c r="Q160" s="2">
        <v>43986</v>
      </c>
      <c r="R160" s="14">
        <v>6044.31</v>
      </c>
      <c r="S160" s="14">
        <v>3065.06</v>
      </c>
    </row>
    <row r="161" spans="2:19" x14ac:dyDescent="0.2">
      <c r="B161" s="2">
        <v>43987</v>
      </c>
      <c r="C161" s="14">
        <v>7773.43</v>
      </c>
      <c r="D161" s="14">
        <v>6044.31</v>
      </c>
      <c r="Q161" s="2">
        <v>43987</v>
      </c>
      <c r="R161" s="14">
        <v>7773.43</v>
      </c>
      <c r="S161" s="14">
        <v>3057.38</v>
      </c>
    </row>
    <row r="162" spans="2:19" x14ac:dyDescent="0.2">
      <c r="B162" s="2">
        <v>43988</v>
      </c>
      <c r="C162" s="14">
        <v>6689.85</v>
      </c>
      <c r="D162" s="14">
        <v>7773.43</v>
      </c>
      <c r="Q162" s="2">
        <v>43988</v>
      </c>
      <c r="R162" s="14">
        <v>6689.85</v>
      </c>
      <c r="S162" s="14">
        <v>4496.32</v>
      </c>
    </row>
    <row r="163" spans="2:19" x14ac:dyDescent="0.2">
      <c r="B163" s="2">
        <v>43989</v>
      </c>
      <c r="C163" s="14">
        <v>4596.67</v>
      </c>
      <c r="D163" s="14">
        <v>6689.85</v>
      </c>
      <c r="Q163" s="2">
        <v>43989</v>
      </c>
      <c r="R163" s="14">
        <v>4596.67</v>
      </c>
      <c r="S163" s="14">
        <v>7503.53</v>
      </c>
    </row>
    <row r="164" spans="2:19" x14ac:dyDescent="0.2">
      <c r="B164" s="2">
        <v>43990</v>
      </c>
      <c r="C164" s="14">
        <v>3340.21</v>
      </c>
      <c r="D164" s="14">
        <v>4596.67</v>
      </c>
      <c r="Q164" s="2">
        <v>43990</v>
      </c>
      <c r="R164" s="14">
        <v>3340.21</v>
      </c>
      <c r="S164" s="14">
        <v>4610.6099999999997</v>
      </c>
    </row>
    <row r="165" spans="2:19" x14ac:dyDescent="0.2">
      <c r="B165" s="2">
        <v>43991</v>
      </c>
      <c r="C165" s="14">
        <v>8860.0400000000009</v>
      </c>
      <c r="D165" s="14">
        <v>3340.21</v>
      </c>
      <c r="Q165" s="2">
        <v>43991</v>
      </c>
      <c r="R165" s="14">
        <v>8860.0400000000009</v>
      </c>
      <c r="S165" s="14">
        <v>2745.29</v>
      </c>
    </row>
    <row r="166" spans="2:19" x14ac:dyDescent="0.2">
      <c r="B166" s="2">
        <v>43992</v>
      </c>
      <c r="C166" s="14">
        <v>5088.83</v>
      </c>
      <c r="D166" s="14">
        <v>8860.0400000000009</v>
      </c>
      <c r="Q166" s="2">
        <v>43992</v>
      </c>
      <c r="R166" s="14">
        <v>5088.83</v>
      </c>
      <c r="S166" s="14">
        <v>4631.3900000000003</v>
      </c>
    </row>
    <row r="167" spans="2:19" x14ac:dyDescent="0.2">
      <c r="B167" s="2">
        <v>43993</v>
      </c>
      <c r="C167" s="14">
        <v>5020.8900000000003</v>
      </c>
      <c r="D167" s="14">
        <v>5088.83</v>
      </c>
      <c r="Q167" s="2">
        <v>43993</v>
      </c>
      <c r="R167" s="14">
        <v>5020.8900000000003</v>
      </c>
      <c r="S167" s="14">
        <v>4590.91</v>
      </c>
    </row>
    <row r="168" spans="2:19" x14ac:dyDescent="0.2">
      <c r="B168" s="2">
        <v>43994</v>
      </c>
      <c r="C168" s="14">
        <v>4963.8100000000004</v>
      </c>
      <c r="D168" s="14">
        <v>5020.8900000000003</v>
      </c>
      <c r="Q168" s="2">
        <v>43994</v>
      </c>
      <c r="R168" s="14">
        <v>4963.8100000000004</v>
      </c>
      <c r="S168" s="14">
        <v>954.67</v>
      </c>
    </row>
    <row r="169" spans="2:19" x14ac:dyDescent="0.2">
      <c r="B169" s="2">
        <v>43995</v>
      </c>
      <c r="C169" s="14">
        <v>5297.13</v>
      </c>
      <c r="D169" s="14">
        <v>4963.8100000000004</v>
      </c>
      <c r="Q169" s="2">
        <v>43995</v>
      </c>
      <c r="R169" s="14">
        <v>5297.13</v>
      </c>
      <c r="S169" s="14">
        <v>4918.5600000000004</v>
      </c>
    </row>
    <row r="170" spans="2:19" x14ac:dyDescent="0.2">
      <c r="B170" s="2">
        <v>43996</v>
      </c>
      <c r="C170" s="14">
        <v>4783.46</v>
      </c>
      <c r="D170" s="14">
        <v>5297.13</v>
      </c>
      <c r="Q170" s="2">
        <v>43996</v>
      </c>
      <c r="R170" s="14">
        <v>4783.46</v>
      </c>
      <c r="S170" s="14">
        <v>4653.6000000000004</v>
      </c>
    </row>
    <row r="171" spans="2:19" x14ac:dyDescent="0.2">
      <c r="B171" s="2">
        <v>43997</v>
      </c>
      <c r="C171" s="14">
        <v>4139.51</v>
      </c>
      <c r="D171" s="14">
        <v>4783.46</v>
      </c>
      <c r="Q171" s="2">
        <v>43997</v>
      </c>
      <c r="R171" s="14">
        <v>4139.51</v>
      </c>
      <c r="S171" s="14">
        <v>6044.31</v>
      </c>
    </row>
    <row r="172" spans="2:19" x14ac:dyDescent="0.2">
      <c r="B172" s="2">
        <v>43998</v>
      </c>
      <c r="C172" s="14">
        <v>4179.71</v>
      </c>
      <c r="D172" s="14">
        <v>4139.51</v>
      </c>
      <c r="Q172" s="2">
        <v>43998</v>
      </c>
      <c r="R172" s="14">
        <v>4179.71</v>
      </c>
      <c r="S172" s="14">
        <v>7773.43</v>
      </c>
    </row>
    <row r="173" spans="2:19" x14ac:dyDescent="0.2">
      <c r="B173" s="2">
        <v>43999</v>
      </c>
      <c r="C173" s="14">
        <v>4950.87</v>
      </c>
      <c r="D173" s="14">
        <v>4179.71</v>
      </c>
      <c r="Q173" s="2">
        <v>43999</v>
      </c>
      <c r="R173" s="14">
        <v>4950.87</v>
      </c>
      <c r="S173" s="14">
        <v>6689.85</v>
      </c>
    </row>
    <row r="174" spans="2:19" x14ac:dyDescent="0.2">
      <c r="B174" s="2">
        <v>44000</v>
      </c>
      <c r="C174" s="14">
        <v>4184.8599999999997</v>
      </c>
      <c r="D174" s="14">
        <v>4950.87</v>
      </c>
      <c r="Q174" s="2">
        <v>44000</v>
      </c>
      <c r="R174" s="14">
        <v>4184.8599999999997</v>
      </c>
      <c r="S174" s="14">
        <v>4596.67</v>
      </c>
    </row>
    <row r="175" spans="2:19" x14ac:dyDescent="0.2">
      <c r="B175" s="2">
        <v>44001</v>
      </c>
      <c r="C175" s="14">
        <v>3930.73</v>
      </c>
      <c r="D175" s="14">
        <v>4184.8599999999997</v>
      </c>
      <c r="Q175" s="2">
        <v>44001</v>
      </c>
      <c r="R175" s="14">
        <v>3930.73</v>
      </c>
      <c r="S175" s="14">
        <v>3340.21</v>
      </c>
    </row>
    <row r="176" spans="2:19" x14ac:dyDescent="0.2">
      <c r="B176" s="2">
        <v>44002</v>
      </c>
      <c r="C176" s="14">
        <v>5159.6499999999996</v>
      </c>
      <c r="D176" s="14">
        <v>3930.73</v>
      </c>
      <c r="Q176" s="2">
        <v>44002</v>
      </c>
      <c r="R176" s="14">
        <v>5159.6499999999996</v>
      </c>
      <c r="S176" s="14">
        <v>8860.0400000000009</v>
      </c>
    </row>
    <row r="177" spans="2:19" x14ac:dyDescent="0.2">
      <c r="B177" s="2">
        <v>44003</v>
      </c>
      <c r="C177" s="14">
        <v>4617.53</v>
      </c>
      <c r="D177" s="14">
        <v>5159.6499999999996</v>
      </c>
      <c r="Q177" s="2">
        <v>44003</v>
      </c>
      <c r="R177" s="14">
        <v>4617.53</v>
      </c>
      <c r="S177" s="14">
        <v>5088.83</v>
      </c>
    </row>
    <row r="178" spans="2:19" x14ac:dyDescent="0.2">
      <c r="B178" s="2">
        <v>44004</v>
      </c>
      <c r="C178" s="14">
        <v>7255.99</v>
      </c>
      <c r="D178" s="14">
        <v>4617.53</v>
      </c>
      <c r="Q178" s="2">
        <v>44004</v>
      </c>
      <c r="R178" s="14">
        <v>7255.99</v>
      </c>
      <c r="S178" s="14">
        <v>5020.8900000000003</v>
      </c>
    </row>
    <row r="179" spans="2:19" x14ac:dyDescent="0.2">
      <c r="B179" s="2">
        <v>44005</v>
      </c>
      <c r="C179" s="14">
        <v>1023.55</v>
      </c>
      <c r="D179" s="14">
        <v>7255.99</v>
      </c>
      <c r="Q179" s="2">
        <v>44005</v>
      </c>
      <c r="R179" s="14">
        <v>1023.55</v>
      </c>
      <c r="S179" s="14">
        <v>4963.8100000000004</v>
      </c>
    </row>
    <row r="180" spans="2:19" x14ac:dyDescent="0.2">
      <c r="B180" s="2">
        <v>44006</v>
      </c>
      <c r="C180" s="14">
        <v>6637.26</v>
      </c>
      <c r="D180" s="14">
        <v>1023.55</v>
      </c>
      <c r="Q180" s="2">
        <v>44006</v>
      </c>
      <c r="R180" s="14">
        <v>6637.26</v>
      </c>
      <c r="S180" s="14">
        <v>5297.13</v>
      </c>
    </row>
    <row r="181" spans="2:19" x14ac:dyDescent="0.2">
      <c r="B181" s="2">
        <v>44007</v>
      </c>
      <c r="C181" s="14">
        <v>6869.13</v>
      </c>
      <c r="D181" s="14">
        <v>6637.26</v>
      </c>
      <c r="Q181" s="2">
        <v>44007</v>
      </c>
      <c r="R181" s="14">
        <v>6869.13</v>
      </c>
      <c r="S181" s="14">
        <v>4783.46</v>
      </c>
    </row>
    <row r="182" spans="2:19" x14ac:dyDescent="0.2">
      <c r="B182" s="2">
        <v>44008</v>
      </c>
      <c r="C182" s="14">
        <v>1889.91</v>
      </c>
      <c r="D182" s="14">
        <v>6869.13</v>
      </c>
      <c r="Q182" s="2">
        <v>44008</v>
      </c>
      <c r="R182" s="14">
        <v>1889.91</v>
      </c>
      <c r="S182" s="14">
        <v>4139.51</v>
      </c>
    </row>
    <row r="183" spans="2:19" x14ac:dyDescent="0.2">
      <c r="B183" s="2">
        <v>44009</v>
      </c>
      <c r="C183" s="14">
        <v>4485.97</v>
      </c>
      <c r="D183" s="14">
        <v>1889.91</v>
      </c>
      <c r="Q183" s="2">
        <v>44009</v>
      </c>
      <c r="R183" s="14">
        <v>4485.97</v>
      </c>
      <c r="S183" s="14">
        <v>4179.71</v>
      </c>
    </row>
    <row r="184" spans="2:19" x14ac:dyDescent="0.2">
      <c r="B184" s="2">
        <v>44010</v>
      </c>
      <c r="C184" s="14">
        <v>4442.84</v>
      </c>
      <c r="D184" s="14">
        <v>4485.97</v>
      </c>
      <c r="Q184" s="2">
        <v>44010</v>
      </c>
      <c r="R184" s="14">
        <v>4442.84</v>
      </c>
      <c r="S184" s="14">
        <v>4950.87</v>
      </c>
    </row>
    <row r="185" spans="2:19" x14ac:dyDescent="0.2">
      <c r="B185" s="2">
        <v>44011</v>
      </c>
      <c r="C185" s="14">
        <v>2888.73</v>
      </c>
      <c r="D185" s="14">
        <v>4442.84</v>
      </c>
      <c r="Q185" s="2">
        <v>44011</v>
      </c>
      <c r="R185" s="14">
        <v>2888.73</v>
      </c>
      <c r="S185" s="14">
        <v>4184.8599999999997</v>
      </c>
    </row>
    <row r="186" spans="2:19" x14ac:dyDescent="0.2">
      <c r="B186" s="2">
        <v>44012</v>
      </c>
      <c r="C186" s="14">
        <v>3833.27</v>
      </c>
      <c r="D186" s="14">
        <v>2888.73</v>
      </c>
      <c r="Q186" s="2">
        <v>44012</v>
      </c>
      <c r="R186" s="14">
        <v>3833.27</v>
      </c>
      <c r="S186" s="14">
        <v>3930.73</v>
      </c>
    </row>
    <row r="187" spans="2:19" x14ac:dyDescent="0.2">
      <c r="B187" s="2">
        <v>44013</v>
      </c>
      <c r="C187" s="14">
        <v>3334.14</v>
      </c>
      <c r="D187" s="14">
        <v>3833.27</v>
      </c>
      <c r="Q187" s="2">
        <v>44013</v>
      </c>
      <c r="R187" s="14">
        <v>3334.14</v>
      </c>
      <c r="S187" s="14">
        <v>5159.6499999999996</v>
      </c>
    </row>
    <row r="188" spans="2:19" x14ac:dyDescent="0.2">
      <c r="B188" s="2">
        <v>44014</v>
      </c>
      <c r="C188" s="14">
        <v>7628.41</v>
      </c>
      <c r="D188" s="14">
        <v>3334.14</v>
      </c>
      <c r="Q188" s="2">
        <v>44014</v>
      </c>
      <c r="R188" s="14">
        <v>7628.41</v>
      </c>
      <c r="S188" s="14">
        <v>4617.53</v>
      </c>
    </row>
    <row r="189" spans="2:19" x14ac:dyDescent="0.2">
      <c r="B189" s="2">
        <v>44015</v>
      </c>
      <c r="C189" s="14">
        <v>6403.52</v>
      </c>
      <c r="D189" s="14">
        <v>7628.41</v>
      </c>
      <c r="Q189" s="2">
        <v>44015</v>
      </c>
      <c r="R189" s="14">
        <v>6403.52</v>
      </c>
      <c r="S189" s="14">
        <v>7255.99</v>
      </c>
    </row>
    <row r="190" spans="2:19" x14ac:dyDescent="0.2">
      <c r="B190" s="2">
        <v>44016</v>
      </c>
      <c r="C190" s="14">
        <v>6907.33</v>
      </c>
      <c r="D190" s="14">
        <v>6403.52</v>
      </c>
      <c r="Q190" s="2">
        <v>44016</v>
      </c>
      <c r="R190" s="14">
        <v>6907.33</v>
      </c>
      <c r="S190" s="14">
        <v>1023.55</v>
      </c>
    </row>
    <row r="191" spans="2:19" x14ac:dyDescent="0.2">
      <c r="B191" s="2">
        <v>44017</v>
      </c>
      <c r="C191" s="14">
        <v>6082.51</v>
      </c>
      <c r="D191" s="14">
        <v>6907.33</v>
      </c>
      <c r="Q191" s="2">
        <v>44017</v>
      </c>
      <c r="R191" s="14">
        <v>6082.51</v>
      </c>
      <c r="S191" s="14">
        <v>6637.26</v>
      </c>
    </row>
    <row r="192" spans="2:19" x14ac:dyDescent="0.2">
      <c r="B192" s="2">
        <v>44018</v>
      </c>
      <c r="C192" s="14">
        <v>3306.42</v>
      </c>
      <c r="D192" s="14">
        <v>6082.51</v>
      </c>
      <c r="Q192" s="2">
        <v>44018</v>
      </c>
      <c r="R192" s="14">
        <v>3306.42</v>
      </c>
      <c r="S192" s="14">
        <v>6869.13</v>
      </c>
    </row>
    <row r="193" spans="2:19" x14ac:dyDescent="0.2">
      <c r="B193" s="2">
        <v>44019</v>
      </c>
      <c r="C193" s="14">
        <v>4213.22</v>
      </c>
      <c r="D193" s="14">
        <v>3306.42</v>
      </c>
      <c r="Q193" s="2">
        <v>44019</v>
      </c>
      <c r="R193" s="14">
        <v>4213.22</v>
      </c>
      <c r="S193" s="14">
        <v>1889.91</v>
      </c>
    </row>
    <row r="194" spans="2:19" x14ac:dyDescent="0.2">
      <c r="B194" s="2">
        <v>44020</v>
      </c>
      <c r="C194" s="14">
        <v>5734.06</v>
      </c>
      <c r="D194" s="14">
        <v>4213.22</v>
      </c>
      <c r="Q194" s="2">
        <v>44020</v>
      </c>
      <c r="R194" s="14">
        <v>5734.06</v>
      </c>
      <c r="S194" s="14">
        <v>4485.97</v>
      </c>
    </row>
    <row r="195" spans="2:19" x14ac:dyDescent="0.2">
      <c r="B195" s="2">
        <v>44021</v>
      </c>
      <c r="C195" s="14">
        <v>3166.81</v>
      </c>
      <c r="D195" s="14">
        <v>5734.06</v>
      </c>
      <c r="Q195" s="2">
        <v>44021</v>
      </c>
      <c r="R195" s="14">
        <v>3166.81</v>
      </c>
      <c r="S195" s="14">
        <v>4442.84</v>
      </c>
    </row>
    <row r="196" spans="2:19" x14ac:dyDescent="0.2">
      <c r="B196" s="2">
        <v>44022</v>
      </c>
      <c r="C196" s="14">
        <v>6069.5</v>
      </c>
      <c r="D196" s="14">
        <v>3166.81</v>
      </c>
      <c r="Q196" s="2">
        <v>44022</v>
      </c>
      <c r="R196" s="14">
        <v>6069.5</v>
      </c>
      <c r="S196" s="14">
        <v>2888.73</v>
      </c>
    </row>
    <row r="197" spans="2:19" x14ac:dyDescent="0.2">
      <c r="B197" s="2">
        <v>44023</v>
      </c>
      <c r="C197" s="14">
        <v>4639.51</v>
      </c>
      <c r="D197" s="14">
        <v>6069.5</v>
      </c>
      <c r="Q197" s="2">
        <v>44023</v>
      </c>
      <c r="R197" s="14">
        <v>4639.51</v>
      </c>
      <c r="S197" s="14">
        <v>3833.27</v>
      </c>
    </row>
    <row r="198" spans="2:19" x14ac:dyDescent="0.2">
      <c r="B198" s="2">
        <v>44024</v>
      </c>
      <c r="C198" s="14">
        <v>4437.7700000000004</v>
      </c>
      <c r="D198" s="14">
        <v>4639.51</v>
      </c>
      <c r="Q198" s="2">
        <v>44024</v>
      </c>
      <c r="R198" s="14">
        <v>4437.7700000000004</v>
      </c>
      <c r="S198" s="14">
        <v>3334.14</v>
      </c>
    </row>
    <row r="199" spans="2:19" x14ac:dyDescent="0.2">
      <c r="B199" s="2">
        <v>44025</v>
      </c>
      <c r="C199" s="14">
        <v>6066.44</v>
      </c>
      <c r="D199" s="14">
        <v>4437.7700000000004</v>
      </c>
      <c r="Q199" s="2">
        <v>44025</v>
      </c>
      <c r="R199" s="14">
        <v>6066.44</v>
      </c>
      <c r="S199" s="14">
        <v>7628.41</v>
      </c>
    </row>
    <row r="200" spans="2:19" x14ac:dyDescent="0.2">
      <c r="B200" s="2">
        <v>44026</v>
      </c>
      <c r="C200" s="14">
        <v>5666.39</v>
      </c>
      <c r="D200" s="14">
        <v>6066.44</v>
      </c>
      <c r="Q200" s="2">
        <v>44026</v>
      </c>
      <c r="R200" s="14">
        <v>5666.39</v>
      </c>
      <c r="S200" s="14">
        <v>6403.52</v>
      </c>
    </row>
    <row r="201" spans="2:19" x14ac:dyDescent="0.2">
      <c r="B201" s="2">
        <v>44027</v>
      </c>
      <c r="C201" s="14">
        <v>4458.55</v>
      </c>
      <c r="D201" s="14">
        <v>5666.39</v>
      </c>
      <c r="Q201" s="2">
        <v>44027</v>
      </c>
      <c r="R201" s="14">
        <v>4458.55</v>
      </c>
      <c r="S201" s="14">
        <v>6907.33</v>
      </c>
    </row>
    <row r="202" spans="2:19" x14ac:dyDescent="0.2">
      <c r="B202" s="2">
        <v>44028</v>
      </c>
      <c r="C202" s="14">
        <v>6738.99</v>
      </c>
      <c r="D202" s="14">
        <v>4458.55</v>
      </c>
      <c r="Q202" s="2">
        <v>44028</v>
      </c>
      <c r="R202" s="14">
        <v>6738.99</v>
      </c>
      <c r="S202" s="14">
        <v>6082.51</v>
      </c>
    </row>
    <row r="203" spans="2:19" x14ac:dyDescent="0.2">
      <c r="B203" s="2">
        <v>44029</v>
      </c>
      <c r="C203" s="14">
        <v>3378.41</v>
      </c>
      <c r="D203" s="14">
        <v>6738.99</v>
      </c>
      <c r="Q203" s="2">
        <v>44029</v>
      </c>
      <c r="R203" s="14">
        <v>3378.41</v>
      </c>
      <c r="S203" s="14">
        <v>3306.42</v>
      </c>
    </row>
    <row r="204" spans="2:19" x14ac:dyDescent="0.2">
      <c r="B204" s="2">
        <v>44030</v>
      </c>
      <c r="C204" s="14">
        <v>5923.9</v>
      </c>
      <c r="D204" s="14">
        <v>3378.41</v>
      </c>
      <c r="Q204" s="2">
        <v>44030</v>
      </c>
      <c r="R204" s="14">
        <v>5923.9</v>
      </c>
      <c r="S204" s="14">
        <v>4213.22</v>
      </c>
    </row>
    <row r="205" spans="2:19" x14ac:dyDescent="0.2">
      <c r="B205" s="2">
        <v>44031</v>
      </c>
      <c r="C205" s="14">
        <v>5889.65</v>
      </c>
      <c r="D205" s="14">
        <v>5923.9</v>
      </c>
      <c r="Q205" s="2">
        <v>44031</v>
      </c>
      <c r="R205" s="14">
        <v>5889.65</v>
      </c>
      <c r="S205" s="14">
        <v>5734.06</v>
      </c>
    </row>
    <row r="206" spans="2:19" x14ac:dyDescent="0.2">
      <c r="B206" s="2">
        <v>44032</v>
      </c>
      <c r="C206" s="14">
        <v>4535.68</v>
      </c>
      <c r="D206" s="14">
        <v>5889.65</v>
      </c>
      <c r="Q206" s="2">
        <v>44032</v>
      </c>
      <c r="R206" s="14">
        <v>4535.68</v>
      </c>
      <c r="S206" s="14">
        <v>3166.81</v>
      </c>
    </row>
    <row r="207" spans="2:19" x14ac:dyDescent="0.2">
      <c r="B207" s="2">
        <v>44033</v>
      </c>
      <c r="C207" s="14">
        <v>5489.2</v>
      </c>
      <c r="D207" s="14">
        <v>4535.68</v>
      </c>
      <c r="Q207" s="2">
        <v>44033</v>
      </c>
      <c r="R207" s="14">
        <v>5489.2</v>
      </c>
      <c r="S207" s="14">
        <v>6069.5</v>
      </c>
    </row>
    <row r="208" spans="2:19" x14ac:dyDescent="0.2">
      <c r="B208" s="2">
        <v>44034</v>
      </c>
      <c r="C208" s="14">
        <v>3123.33</v>
      </c>
      <c r="D208" s="14">
        <v>5489.2</v>
      </c>
      <c r="Q208" s="2">
        <v>44034</v>
      </c>
      <c r="R208" s="14">
        <v>3123.33</v>
      </c>
      <c r="S208" s="14">
        <v>4639.51</v>
      </c>
    </row>
    <row r="209" spans="2:19" x14ac:dyDescent="0.2">
      <c r="B209" s="2">
        <v>44035</v>
      </c>
      <c r="C209" s="14">
        <v>6386.04</v>
      </c>
      <c r="D209" s="14">
        <v>3123.33</v>
      </c>
      <c r="Q209" s="2">
        <v>44035</v>
      </c>
      <c r="R209" s="14">
        <v>6386.04</v>
      </c>
      <c r="S209" s="14">
        <v>4437.7700000000004</v>
      </c>
    </row>
    <row r="210" spans="2:19" x14ac:dyDescent="0.2">
      <c r="B210" s="2">
        <v>44036</v>
      </c>
      <c r="C210" s="14">
        <v>4722.6499999999996</v>
      </c>
      <c r="D210" s="14">
        <v>6386.04</v>
      </c>
      <c r="Q210" s="2">
        <v>44036</v>
      </c>
      <c r="R210" s="14">
        <v>4722.6499999999996</v>
      </c>
      <c r="S210" s="14">
        <v>6066.44</v>
      </c>
    </row>
    <row r="211" spans="2:19" x14ac:dyDescent="0.2">
      <c r="B211" s="2">
        <v>44037</v>
      </c>
      <c r="C211" s="14">
        <v>4215.92</v>
      </c>
      <c r="D211" s="14">
        <v>4722.6499999999996</v>
      </c>
      <c r="Q211" s="2">
        <v>44037</v>
      </c>
      <c r="R211" s="14">
        <v>4215.92</v>
      </c>
      <c r="S211" s="14">
        <v>5666.39</v>
      </c>
    </row>
    <row r="212" spans="2:19" x14ac:dyDescent="0.2">
      <c r="B212" s="2">
        <v>44038</v>
      </c>
      <c r="C212" s="14">
        <v>6573.51</v>
      </c>
      <c r="D212" s="14">
        <v>4215.92</v>
      </c>
      <c r="Q212" s="2">
        <v>44038</v>
      </c>
      <c r="R212" s="14">
        <v>6573.51</v>
      </c>
      <c r="S212" s="14">
        <v>4458.55</v>
      </c>
    </row>
    <row r="213" spans="2:19" x14ac:dyDescent="0.2">
      <c r="B213" s="2">
        <v>44039</v>
      </c>
      <c r="C213" s="14">
        <v>3943.48</v>
      </c>
      <c r="D213" s="14">
        <v>6573.51</v>
      </c>
      <c r="Q213" s="2">
        <v>44039</v>
      </c>
      <c r="R213" s="14">
        <v>3943.48</v>
      </c>
      <c r="S213" s="14">
        <v>6738.99</v>
      </c>
    </row>
    <row r="214" spans="2:19" x14ac:dyDescent="0.2">
      <c r="B214" s="2">
        <v>44040</v>
      </c>
      <c r="C214" s="14">
        <v>2887.31</v>
      </c>
      <c r="D214" s="14">
        <v>3943.48</v>
      </c>
      <c r="Q214" s="2">
        <v>44040</v>
      </c>
      <c r="R214" s="14">
        <v>2887.31</v>
      </c>
      <c r="S214" s="14">
        <v>3378.41</v>
      </c>
    </row>
    <row r="215" spans="2:19" x14ac:dyDescent="0.2">
      <c r="B215" s="2">
        <v>44041</v>
      </c>
      <c r="C215" s="14">
        <v>2665.06</v>
      </c>
      <c r="D215" s="14">
        <v>2887.31</v>
      </c>
      <c r="Q215" s="2">
        <v>44041</v>
      </c>
      <c r="R215" s="14">
        <v>2665.06</v>
      </c>
      <c r="S215" s="14">
        <v>5923.9</v>
      </c>
    </row>
    <row r="216" spans="2:19" x14ac:dyDescent="0.2">
      <c r="B216" s="2">
        <v>44042</v>
      </c>
      <c r="C216" s="14">
        <v>5909.01</v>
      </c>
      <c r="D216" s="14">
        <v>2665.06</v>
      </c>
      <c r="Q216" s="2">
        <v>44042</v>
      </c>
      <c r="R216" s="14">
        <v>5909.01</v>
      </c>
      <c r="S216" s="14">
        <v>5889.65</v>
      </c>
    </row>
    <row r="217" spans="2:19" x14ac:dyDescent="0.2">
      <c r="B217" s="2">
        <v>44043</v>
      </c>
      <c r="C217" s="14">
        <v>3079.36</v>
      </c>
      <c r="D217" s="14">
        <v>5909.01</v>
      </c>
      <c r="Q217" s="2">
        <v>44043</v>
      </c>
      <c r="R217" s="14">
        <v>3079.36</v>
      </c>
      <c r="S217" s="14">
        <v>4535.68</v>
      </c>
    </row>
    <row r="218" spans="2:19" x14ac:dyDescent="0.2">
      <c r="B218" s="2">
        <v>44044</v>
      </c>
      <c r="C218" s="14">
        <v>7632.19</v>
      </c>
      <c r="D218" s="14">
        <v>3079.36</v>
      </c>
      <c r="Q218" s="2">
        <v>44044</v>
      </c>
      <c r="R218" s="14">
        <v>7632.19</v>
      </c>
      <c r="S218" s="14">
        <v>5489.2</v>
      </c>
    </row>
    <row r="219" spans="2:19" x14ac:dyDescent="0.2">
      <c r="B219" s="2">
        <v>44045</v>
      </c>
      <c r="C219" s="14">
        <v>1877.11</v>
      </c>
      <c r="D219" s="14">
        <v>7632.19</v>
      </c>
      <c r="Q219" s="2">
        <v>44045</v>
      </c>
      <c r="R219" s="14">
        <v>1877.11</v>
      </c>
      <c r="S219" s="14">
        <v>3123.33</v>
      </c>
    </row>
    <row r="220" spans="2:19" x14ac:dyDescent="0.2">
      <c r="B220" s="2">
        <v>44046</v>
      </c>
      <c r="C220" s="14">
        <v>7544.68</v>
      </c>
      <c r="D220" s="14">
        <v>1877.11</v>
      </c>
      <c r="Q220" s="2">
        <v>44046</v>
      </c>
      <c r="R220" s="14">
        <v>7544.68</v>
      </c>
      <c r="S220" s="14">
        <v>6386.04</v>
      </c>
    </row>
    <row r="221" spans="2:19" x14ac:dyDescent="0.2">
      <c r="B221" s="2">
        <v>44047</v>
      </c>
      <c r="C221" s="14">
        <v>5316.53</v>
      </c>
      <c r="D221" s="14">
        <v>7544.68</v>
      </c>
      <c r="Q221" s="2">
        <v>44047</v>
      </c>
      <c r="R221" s="14">
        <v>5316.53</v>
      </c>
      <c r="S221" s="14">
        <v>4722.6499999999996</v>
      </c>
    </row>
    <row r="222" spans="2:19" x14ac:dyDescent="0.2">
      <c r="B222" s="2">
        <v>44048</v>
      </c>
      <c r="C222" s="14">
        <v>4854.93</v>
      </c>
      <c r="D222" s="14">
        <v>5316.53</v>
      </c>
      <c r="Q222" s="2">
        <v>44048</v>
      </c>
      <c r="R222" s="14">
        <v>4854.93</v>
      </c>
      <c r="S222" s="14">
        <v>4215.92</v>
      </c>
    </row>
    <row r="223" spans="2:19" x14ac:dyDescent="0.2">
      <c r="B223" s="2">
        <v>44049</v>
      </c>
      <c r="C223" s="14">
        <v>4182.62</v>
      </c>
      <c r="D223" s="14">
        <v>4854.93</v>
      </c>
      <c r="Q223" s="2">
        <v>44049</v>
      </c>
      <c r="R223" s="14">
        <v>4182.62</v>
      </c>
      <c r="S223" s="14">
        <v>6573.51</v>
      </c>
    </row>
    <row r="224" spans="2:19" x14ac:dyDescent="0.2">
      <c r="B224" s="2">
        <v>44050</v>
      </c>
      <c r="C224" s="14">
        <v>5598.7</v>
      </c>
      <c r="D224" s="14">
        <v>4182.62</v>
      </c>
      <c r="Q224" s="2">
        <v>44050</v>
      </c>
      <c r="R224" s="14">
        <v>5598.7</v>
      </c>
      <c r="S224" s="14">
        <v>3943.48</v>
      </c>
    </row>
    <row r="225" spans="2:19" x14ac:dyDescent="0.2">
      <c r="B225" s="2">
        <v>44051</v>
      </c>
      <c r="C225" s="14">
        <v>4943.55</v>
      </c>
      <c r="D225" s="14">
        <v>5598.7</v>
      </c>
      <c r="Q225" s="2">
        <v>44051</v>
      </c>
      <c r="R225" s="14">
        <v>4943.55</v>
      </c>
      <c r="S225" s="14">
        <v>2887.31</v>
      </c>
    </row>
    <row r="226" spans="2:19" x14ac:dyDescent="0.2">
      <c r="B226" s="2">
        <v>44052</v>
      </c>
      <c r="C226" s="14">
        <v>6654.95</v>
      </c>
      <c r="D226" s="14">
        <v>4943.55</v>
      </c>
      <c r="Q226" s="2">
        <v>44052</v>
      </c>
      <c r="R226" s="14">
        <v>6654.95</v>
      </c>
      <c r="S226" s="14">
        <v>2665.06</v>
      </c>
    </row>
    <row r="227" spans="2:19" x14ac:dyDescent="0.2">
      <c r="B227" s="2">
        <v>44053</v>
      </c>
      <c r="C227" s="14">
        <v>5171.34</v>
      </c>
      <c r="D227" s="14">
        <v>6654.95</v>
      </c>
      <c r="Q227" s="2">
        <v>44053</v>
      </c>
      <c r="R227" s="14">
        <v>5171.34</v>
      </c>
      <c r="S227" s="14">
        <v>5909.01</v>
      </c>
    </row>
    <row r="228" spans="2:19" x14ac:dyDescent="0.2">
      <c r="B228" s="2">
        <v>44054</v>
      </c>
      <c r="C228" s="14">
        <v>5225.45</v>
      </c>
      <c r="D228" s="14">
        <v>5171.34</v>
      </c>
      <c r="Q228" s="2">
        <v>44054</v>
      </c>
      <c r="R228" s="14">
        <v>5225.45</v>
      </c>
      <c r="S228" s="14">
        <v>3079.36</v>
      </c>
    </row>
    <row r="229" spans="2:19" x14ac:dyDescent="0.2">
      <c r="B229" s="2">
        <v>44055</v>
      </c>
      <c r="C229" s="14">
        <v>4454.58</v>
      </c>
      <c r="D229" s="14">
        <v>5225.45</v>
      </c>
      <c r="Q229" s="2">
        <v>44055</v>
      </c>
      <c r="R229" s="14">
        <v>4454.58</v>
      </c>
      <c r="S229" s="14">
        <v>7632.19</v>
      </c>
    </row>
    <row r="230" spans="2:19" x14ac:dyDescent="0.2">
      <c r="B230" s="2">
        <v>44056</v>
      </c>
      <c r="C230" s="14">
        <v>4914.58</v>
      </c>
      <c r="D230" s="14">
        <v>4454.58</v>
      </c>
      <c r="Q230" s="2">
        <v>44056</v>
      </c>
      <c r="R230" s="14">
        <v>4914.58</v>
      </c>
      <c r="S230" s="14">
        <v>1877.11</v>
      </c>
    </row>
    <row r="231" spans="2:19" x14ac:dyDescent="0.2">
      <c r="B231" s="2">
        <v>44057</v>
      </c>
      <c r="C231" s="14">
        <v>5461.7</v>
      </c>
      <c r="D231" s="14">
        <v>4914.58</v>
      </c>
      <c r="Q231" s="2">
        <v>44057</v>
      </c>
      <c r="R231" s="14">
        <v>5461.7</v>
      </c>
      <c r="S231" s="14">
        <v>7544.68</v>
      </c>
    </row>
    <row r="232" spans="2:19" x14ac:dyDescent="0.2">
      <c r="B232" s="2">
        <v>44058</v>
      </c>
      <c r="C232" s="14">
        <v>2434.75</v>
      </c>
      <c r="D232" s="14">
        <v>5461.7</v>
      </c>
      <c r="Q232" s="2">
        <v>44058</v>
      </c>
      <c r="R232" s="14">
        <v>2434.75</v>
      </c>
      <c r="S232" s="14">
        <v>5316.53</v>
      </c>
    </row>
    <row r="233" spans="2:19" x14ac:dyDescent="0.2">
      <c r="B233" s="2">
        <v>44059</v>
      </c>
      <c r="C233" s="14">
        <v>2977.72</v>
      </c>
      <c r="D233" s="14">
        <v>2434.75</v>
      </c>
      <c r="Q233" s="2">
        <v>44059</v>
      </c>
      <c r="R233" s="14">
        <v>2977.72</v>
      </c>
      <c r="S233" s="14">
        <v>4854.93</v>
      </c>
    </row>
    <row r="234" spans="2:19" x14ac:dyDescent="0.2">
      <c r="B234" s="2">
        <v>44060</v>
      </c>
      <c r="C234" s="14">
        <v>6114.9</v>
      </c>
      <c r="D234" s="14">
        <v>2977.72</v>
      </c>
      <c r="Q234" s="2">
        <v>44060</v>
      </c>
      <c r="R234" s="14">
        <v>6114.9</v>
      </c>
      <c r="S234" s="14">
        <v>4182.62</v>
      </c>
    </row>
    <row r="235" spans="2:19" x14ac:dyDescent="0.2">
      <c r="B235" s="2">
        <v>44061</v>
      </c>
      <c r="C235" s="14">
        <v>5256.3</v>
      </c>
      <c r="D235" s="14">
        <v>6114.9</v>
      </c>
      <c r="Q235" s="2">
        <v>44061</v>
      </c>
      <c r="R235" s="14">
        <v>5256.3</v>
      </c>
      <c r="S235" s="14">
        <v>5598.7</v>
      </c>
    </row>
    <row r="236" spans="2:19" x14ac:dyDescent="0.2">
      <c r="B236" s="2">
        <v>44062</v>
      </c>
      <c r="C236" s="14">
        <v>4724.0200000000004</v>
      </c>
      <c r="D236" s="14">
        <v>5256.3</v>
      </c>
      <c r="Q236" s="2">
        <v>44062</v>
      </c>
      <c r="R236" s="14">
        <v>4724.0200000000004</v>
      </c>
      <c r="S236" s="14">
        <v>4943.55</v>
      </c>
    </row>
    <row r="237" spans="2:19" x14ac:dyDescent="0.2">
      <c r="B237" s="2">
        <v>44063</v>
      </c>
      <c r="C237" s="14">
        <v>5027.6499999999996</v>
      </c>
      <c r="D237" s="14">
        <v>4724.0200000000004</v>
      </c>
      <c r="Q237" s="2">
        <v>44063</v>
      </c>
      <c r="R237" s="14">
        <v>5027.6499999999996</v>
      </c>
      <c r="S237" s="14">
        <v>6654.95</v>
      </c>
    </row>
    <row r="238" spans="2:19" x14ac:dyDescent="0.2">
      <c r="B238" s="2">
        <v>44064</v>
      </c>
      <c r="C238" s="14">
        <v>5521.37</v>
      </c>
      <c r="D238" s="14">
        <v>5027.6499999999996</v>
      </c>
      <c r="Q238" s="2">
        <v>44064</v>
      </c>
      <c r="R238" s="14">
        <v>5521.37</v>
      </c>
      <c r="S238" s="14">
        <v>5171.34</v>
      </c>
    </row>
    <row r="239" spans="2:19" x14ac:dyDescent="0.2">
      <c r="B239" s="2">
        <v>44065</v>
      </c>
      <c r="C239" s="14">
        <v>4190.3599999999997</v>
      </c>
      <c r="D239" s="14">
        <v>5521.37</v>
      </c>
      <c r="Q239" s="2">
        <v>44065</v>
      </c>
      <c r="R239" s="14">
        <v>4190.3599999999997</v>
      </c>
      <c r="S239" s="14">
        <v>5225.45</v>
      </c>
    </row>
    <row r="240" spans="2:19" x14ac:dyDescent="0.2">
      <c r="B240" s="2">
        <v>44066</v>
      </c>
      <c r="C240" s="14">
        <v>3832.54</v>
      </c>
      <c r="D240" s="14">
        <v>4190.3599999999997</v>
      </c>
      <c r="Q240" s="2">
        <v>44066</v>
      </c>
      <c r="R240" s="14">
        <v>3832.54</v>
      </c>
      <c r="S240" s="14">
        <v>4454.58</v>
      </c>
    </row>
    <row r="241" spans="2:19" x14ac:dyDescent="0.2">
      <c r="B241" s="2">
        <v>44067</v>
      </c>
      <c r="C241" s="14">
        <v>5293.77</v>
      </c>
      <c r="D241" s="14">
        <v>3832.54</v>
      </c>
      <c r="Q241" s="2">
        <v>44067</v>
      </c>
      <c r="R241" s="14">
        <v>5293.77</v>
      </c>
      <c r="S241" s="14">
        <v>4914.58</v>
      </c>
    </row>
    <row r="242" spans="2:19" x14ac:dyDescent="0.2">
      <c r="B242" s="2">
        <v>44068</v>
      </c>
      <c r="C242" s="14">
        <v>3532.44</v>
      </c>
      <c r="D242" s="14">
        <v>5293.77</v>
      </c>
      <c r="Q242" s="2">
        <v>44068</v>
      </c>
      <c r="R242" s="14">
        <v>3532.44</v>
      </c>
      <c r="S242" s="14">
        <v>5461.7</v>
      </c>
    </row>
    <row r="243" spans="2:19" x14ac:dyDescent="0.2">
      <c r="B243" s="2">
        <v>44069</v>
      </c>
      <c r="C243" s="14">
        <v>5612.38</v>
      </c>
      <c r="D243" s="14">
        <v>3532.44</v>
      </c>
      <c r="Q243" s="2">
        <v>44069</v>
      </c>
      <c r="R243" s="14">
        <v>5612.38</v>
      </c>
      <c r="S243" s="14">
        <v>2434.75</v>
      </c>
    </row>
    <row r="244" spans="2:19" x14ac:dyDescent="0.2">
      <c r="B244" s="2">
        <v>44070</v>
      </c>
      <c r="C244" s="14">
        <v>2446.12</v>
      </c>
      <c r="D244" s="14">
        <v>5612.38</v>
      </c>
      <c r="Q244" s="2">
        <v>44070</v>
      </c>
      <c r="R244" s="14">
        <v>2446.12</v>
      </c>
      <c r="S244" s="14">
        <v>2977.72</v>
      </c>
    </row>
    <row r="245" spans="2:19" x14ac:dyDescent="0.2">
      <c r="B245" s="2">
        <v>44071</v>
      </c>
      <c r="C245" s="14">
        <v>6543.73</v>
      </c>
      <c r="D245" s="14">
        <v>2446.12</v>
      </c>
      <c r="Q245" s="2">
        <v>44071</v>
      </c>
      <c r="R245" s="14">
        <v>6543.73</v>
      </c>
      <c r="S245" s="14">
        <v>6114.9</v>
      </c>
    </row>
    <row r="246" spans="2:19" x14ac:dyDescent="0.2">
      <c r="B246" s="2">
        <v>44072</v>
      </c>
      <c r="C246" s="14">
        <v>5708.9</v>
      </c>
      <c r="D246" s="14">
        <v>6543.73</v>
      </c>
      <c r="Q246" s="2">
        <v>44072</v>
      </c>
      <c r="R246" s="14">
        <v>5708.9</v>
      </c>
      <c r="S246" s="14">
        <v>5256.3</v>
      </c>
    </row>
    <row r="247" spans="2:19" x14ac:dyDescent="0.2">
      <c r="B247" s="2">
        <v>44073</v>
      </c>
      <c r="C247" s="14">
        <v>5384.04</v>
      </c>
      <c r="D247" s="14">
        <v>5708.9</v>
      </c>
      <c r="Q247" s="2">
        <v>44073</v>
      </c>
      <c r="R247" s="14">
        <v>5384.04</v>
      </c>
      <c r="S247" s="14">
        <v>4724.0200000000004</v>
      </c>
    </row>
    <row r="248" spans="2:19" x14ac:dyDescent="0.2">
      <c r="B248" s="2">
        <v>44074</v>
      </c>
      <c r="C248" s="14">
        <v>6474.04</v>
      </c>
      <c r="D248" s="14">
        <v>5384.04</v>
      </c>
      <c r="Q248" s="2">
        <v>44074</v>
      </c>
      <c r="R248" s="14">
        <v>6474.04</v>
      </c>
      <c r="S248" s="14">
        <v>5027.6499999999996</v>
      </c>
    </row>
    <row r="249" spans="2:19" x14ac:dyDescent="0.2">
      <c r="B249" s="2">
        <v>44075</v>
      </c>
      <c r="C249" s="14">
        <v>7498.21</v>
      </c>
      <c r="D249" s="14">
        <v>6474.04</v>
      </c>
      <c r="Q249" s="2">
        <v>44075</v>
      </c>
      <c r="R249" s="14">
        <v>7498.21</v>
      </c>
      <c r="S249" s="14">
        <v>5521.37</v>
      </c>
    </row>
    <row r="250" spans="2:19" x14ac:dyDescent="0.2">
      <c r="B250" s="2">
        <v>44076</v>
      </c>
      <c r="C250" s="14">
        <v>6521.56</v>
      </c>
      <c r="D250" s="14">
        <v>7498.21</v>
      </c>
      <c r="Q250" s="2">
        <v>44076</v>
      </c>
      <c r="R250" s="14">
        <v>6521.56</v>
      </c>
      <c r="S250" s="14">
        <v>4190.3599999999997</v>
      </c>
    </row>
    <row r="251" spans="2:19" x14ac:dyDescent="0.2">
      <c r="B251" s="2">
        <v>44077</v>
      </c>
      <c r="C251" s="14">
        <v>2238.69</v>
      </c>
      <c r="D251" s="14">
        <v>6521.56</v>
      </c>
      <c r="Q251" s="2">
        <v>44077</v>
      </c>
      <c r="R251" s="14">
        <v>2238.69</v>
      </c>
      <c r="S251" s="14">
        <v>3832.54</v>
      </c>
    </row>
    <row r="252" spans="2:19" x14ac:dyDescent="0.2">
      <c r="B252" s="2">
        <v>44078</v>
      </c>
      <c r="C252" s="14">
        <v>3080.63</v>
      </c>
      <c r="D252" s="14">
        <v>2238.69</v>
      </c>
      <c r="Q252" s="2">
        <v>44078</v>
      </c>
      <c r="R252" s="14">
        <v>3080.63</v>
      </c>
      <c r="S252" s="14">
        <v>5293.77</v>
      </c>
    </row>
    <row r="253" spans="2:19" x14ac:dyDescent="0.2">
      <c r="B253" s="2">
        <v>44079</v>
      </c>
      <c r="C253" s="14">
        <v>4062.77</v>
      </c>
      <c r="D253" s="14">
        <v>3080.63</v>
      </c>
      <c r="Q253" s="2">
        <v>44079</v>
      </c>
      <c r="R253" s="14">
        <v>4062.77</v>
      </c>
      <c r="S253" s="14">
        <v>3532.44</v>
      </c>
    </row>
    <row r="254" spans="2:19" x14ac:dyDescent="0.2">
      <c r="B254" s="2">
        <v>44080</v>
      </c>
      <c r="C254" s="14">
        <v>5039.1400000000003</v>
      </c>
      <c r="D254" s="14">
        <v>4062.77</v>
      </c>
      <c r="Q254" s="2">
        <v>44080</v>
      </c>
      <c r="R254" s="14">
        <v>5039.1400000000003</v>
      </c>
      <c r="S254" s="14">
        <v>5612.38</v>
      </c>
    </row>
    <row r="255" spans="2:19" x14ac:dyDescent="0.2">
      <c r="B255" s="2">
        <v>44081</v>
      </c>
      <c r="C255" s="14">
        <v>5776.49</v>
      </c>
      <c r="D255" s="14">
        <v>5039.1400000000003</v>
      </c>
      <c r="Q255" s="2">
        <v>44081</v>
      </c>
      <c r="R255" s="14">
        <v>5776.49</v>
      </c>
      <c r="S255" s="14">
        <v>2446.12</v>
      </c>
    </row>
    <row r="256" spans="2:19" x14ac:dyDescent="0.2">
      <c r="B256" s="2">
        <v>44082</v>
      </c>
      <c r="C256" s="14">
        <v>3911.38</v>
      </c>
      <c r="D256" s="14">
        <v>5776.49</v>
      </c>
      <c r="Q256" s="2">
        <v>44082</v>
      </c>
      <c r="R256" s="14">
        <v>3911.38</v>
      </c>
      <c r="S256" s="14">
        <v>6543.73</v>
      </c>
    </row>
    <row r="257" spans="2:19" x14ac:dyDescent="0.2">
      <c r="B257" s="2">
        <v>44083</v>
      </c>
      <c r="C257" s="14">
        <v>5280.15</v>
      </c>
      <c r="D257" s="14">
        <v>3911.38</v>
      </c>
      <c r="Q257" s="2">
        <v>44083</v>
      </c>
      <c r="R257" s="14">
        <v>5280.15</v>
      </c>
      <c r="S257" s="14">
        <v>5708.9</v>
      </c>
    </row>
    <row r="258" spans="2:19" x14ac:dyDescent="0.2">
      <c r="B258" s="2">
        <v>44084</v>
      </c>
      <c r="C258" s="14">
        <v>3866.93</v>
      </c>
      <c r="D258" s="14">
        <v>5280.15</v>
      </c>
      <c r="Q258" s="2">
        <v>44084</v>
      </c>
      <c r="R258" s="14">
        <v>3866.93</v>
      </c>
      <c r="S258" s="14">
        <v>5384.04</v>
      </c>
    </row>
    <row r="259" spans="2:19" x14ac:dyDescent="0.2">
      <c r="B259" s="2">
        <v>44085</v>
      </c>
      <c r="C259" s="14">
        <v>4082.72</v>
      </c>
      <c r="D259" s="14">
        <v>3866.93</v>
      </c>
      <c r="Q259" s="2">
        <v>44085</v>
      </c>
      <c r="R259" s="14">
        <v>4082.72</v>
      </c>
      <c r="S259" s="14">
        <v>6474.04</v>
      </c>
    </row>
    <row r="260" spans="2:19" x14ac:dyDescent="0.2">
      <c r="B260" s="2">
        <v>44086</v>
      </c>
      <c r="C260" s="14">
        <v>2890.01</v>
      </c>
      <c r="D260" s="14">
        <v>4082.72</v>
      </c>
      <c r="Q260" s="2">
        <v>44086</v>
      </c>
      <c r="R260" s="14">
        <v>2890.01</v>
      </c>
      <c r="S260" s="14">
        <v>7498.21</v>
      </c>
    </row>
    <row r="261" spans="2:19" x14ac:dyDescent="0.2">
      <c r="B261" s="2">
        <v>44087</v>
      </c>
      <c r="C261" s="14">
        <v>3615.15</v>
      </c>
      <c r="D261" s="14">
        <v>2890.01</v>
      </c>
      <c r="Q261" s="2">
        <v>44087</v>
      </c>
      <c r="R261" s="14">
        <v>3615.15</v>
      </c>
      <c r="S261" s="14">
        <v>6521.56</v>
      </c>
    </row>
    <row r="262" spans="2:19" x14ac:dyDescent="0.2">
      <c r="B262" s="2">
        <v>44088</v>
      </c>
      <c r="C262" s="14">
        <v>2972.47</v>
      </c>
      <c r="D262" s="14">
        <v>3615.15</v>
      </c>
      <c r="Q262" s="2">
        <v>44088</v>
      </c>
      <c r="R262" s="14">
        <v>2972.47</v>
      </c>
      <c r="S262" s="14">
        <v>2238.69</v>
      </c>
    </row>
    <row r="263" spans="2:19" x14ac:dyDescent="0.2">
      <c r="B263" s="2">
        <v>44089</v>
      </c>
      <c r="C263" s="14">
        <v>3536.19</v>
      </c>
      <c r="D263" s="14">
        <v>2972.47</v>
      </c>
      <c r="Q263" s="2">
        <v>44089</v>
      </c>
      <c r="R263" s="14">
        <v>3536.19</v>
      </c>
      <c r="S263" s="14">
        <v>3080.63</v>
      </c>
    </row>
    <row r="264" spans="2:19" x14ac:dyDescent="0.2">
      <c r="B264" s="2">
        <v>44090</v>
      </c>
      <c r="C264" s="14">
        <v>6580.46</v>
      </c>
      <c r="D264" s="14">
        <v>3536.19</v>
      </c>
      <c r="Q264" s="2">
        <v>44090</v>
      </c>
      <c r="R264" s="14">
        <v>6580.46</v>
      </c>
      <c r="S264" s="14">
        <v>4062.77</v>
      </c>
    </row>
    <row r="265" spans="2:19" x14ac:dyDescent="0.2">
      <c r="B265" s="2">
        <v>44091</v>
      </c>
      <c r="C265" s="14">
        <v>3575.9</v>
      </c>
      <c r="D265" s="14">
        <v>6580.46</v>
      </c>
      <c r="Q265" s="2">
        <v>44091</v>
      </c>
      <c r="R265" s="14">
        <v>3575.9</v>
      </c>
      <c r="S265" s="14">
        <v>5039.1400000000003</v>
      </c>
    </row>
    <row r="266" spans="2:19" x14ac:dyDescent="0.2">
      <c r="B266" s="2">
        <v>44092</v>
      </c>
      <c r="C266" s="14">
        <v>8948.57</v>
      </c>
      <c r="D266" s="14">
        <v>3575.9</v>
      </c>
      <c r="Q266" s="2">
        <v>44092</v>
      </c>
      <c r="R266" s="14">
        <v>8948.57</v>
      </c>
      <c r="S266" s="14">
        <v>5776.49</v>
      </c>
    </row>
    <row r="267" spans="2:19" x14ac:dyDescent="0.2">
      <c r="B267" s="2">
        <v>44093</v>
      </c>
      <c r="C267" s="14">
        <v>5739.98</v>
      </c>
      <c r="D267" s="14">
        <v>8948.57</v>
      </c>
      <c r="Q267" s="2">
        <v>44093</v>
      </c>
      <c r="R267" s="14">
        <v>5739.98</v>
      </c>
      <c r="S267" s="14">
        <v>3911.38</v>
      </c>
    </row>
    <row r="268" spans="2:19" x14ac:dyDescent="0.2">
      <c r="B268" s="2">
        <v>44094</v>
      </c>
      <c r="C268" s="14">
        <v>5277.25</v>
      </c>
      <c r="D268" s="14">
        <v>5739.98</v>
      </c>
      <c r="Q268" s="2">
        <v>44094</v>
      </c>
      <c r="R268" s="14">
        <v>5277.25</v>
      </c>
      <c r="S268" s="14">
        <v>5280.15</v>
      </c>
    </row>
    <row r="269" spans="2:19" x14ac:dyDescent="0.2">
      <c r="B269" s="2">
        <v>44095</v>
      </c>
      <c r="C269" s="14">
        <v>3712.46</v>
      </c>
      <c r="D269" s="14">
        <v>5277.25</v>
      </c>
      <c r="Q269" s="2">
        <v>44095</v>
      </c>
      <c r="R269" s="14">
        <v>3712.46</v>
      </c>
      <c r="S269" s="14">
        <v>3866.93</v>
      </c>
    </row>
    <row r="270" spans="2:19" x14ac:dyDescent="0.2">
      <c r="B270" s="2">
        <v>44096</v>
      </c>
      <c r="C270" s="14">
        <v>6050.46</v>
      </c>
      <c r="D270" s="14">
        <v>3712.46</v>
      </c>
      <c r="Q270" s="2">
        <v>44096</v>
      </c>
      <c r="R270" s="14">
        <v>6050.46</v>
      </c>
      <c r="S270" s="14">
        <v>4082.72</v>
      </c>
    </row>
    <row r="271" spans="2:19" x14ac:dyDescent="0.2">
      <c r="B271" s="2">
        <v>44097</v>
      </c>
      <c r="C271" s="14">
        <v>4136.54</v>
      </c>
      <c r="D271" s="14">
        <v>6050.46</v>
      </c>
      <c r="Q271" s="2">
        <v>44097</v>
      </c>
      <c r="R271" s="14">
        <v>4136.54</v>
      </c>
      <c r="S271" s="14">
        <v>2890.01</v>
      </c>
    </row>
    <row r="272" spans="2:19" x14ac:dyDescent="0.2">
      <c r="B272" s="2">
        <v>44098</v>
      </c>
      <c r="C272" s="14">
        <v>5183.01</v>
      </c>
      <c r="D272" s="14">
        <v>4136.54</v>
      </c>
      <c r="Q272" s="2">
        <v>44098</v>
      </c>
      <c r="R272" s="14">
        <v>5183.01</v>
      </c>
      <c r="S272" s="14">
        <v>3615.15</v>
      </c>
    </row>
    <row r="273" spans="2:19" x14ac:dyDescent="0.2">
      <c r="B273" s="2">
        <v>44099</v>
      </c>
      <c r="C273" s="14">
        <v>8840.1299999999992</v>
      </c>
      <c r="D273" s="14">
        <v>5183.01</v>
      </c>
      <c r="Q273" s="2">
        <v>44099</v>
      </c>
      <c r="R273" s="14">
        <v>8840.1299999999992</v>
      </c>
      <c r="S273" s="14">
        <v>2972.47</v>
      </c>
    </row>
    <row r="274" spans="2:19" x14ac:dyDescent="0.2">
      <c r="B274" s="2">
        <v>44100</v>
      </c>
      <c r="C274" s="14">
        <v>4855.91</v>
      </c>
      <c r="D274" s="14">
        <v>8840.1299999999992</v>
      </c>
      <c r="Q274" s="2">
        <v>44100</v>
      </c>
      <c r="R274" s="14">
        <v>4855.91</v>
      </c>
      <c r="S274" s="14">
        <v>3536.19</v>
      </c>
    </row>
    <row r="275" spans="2:19" x14ac:dyDescent="0.2">
      <c r="B275" s="2">
        <v>44101</v>
      </c>
      <c r="C275" s="14">
        <v>6723.91</v>
      </c>
      <c r="D275" s="14">
        <v>4855.91</v>
      </c>
      <c r="Q275" s="2">
        <v>44101</v>
      </c>
      <c r="R275" s="14">
        <v>6723.91</v>
      </c>
      <c r="S275" s="14">
        <v>6580.46</v>
      </c>
    </row>
    <row r="276" spans="2:19" x14ac:dyDescent="0.2">
      <c r="B276" s="2">
        <v>44102</v>
      </c>
      <c r="C276" s="14">
        <v>3945.24</v>
      </c>
      <c r="D276" s="14">
        <v>6723.91</v>
      </c>
      <c r="Q276" s="2">
        <v>44102</v>
      </c>
      <c r="R276" s="14">
        <v>3945.24</v>
      </c>
      <c r="S276" s="14">
        <v>3575.9</v>
      </c>
    </row>
    <row r="277" spans="2:19" x14ac:dyDescent="0.2">
      <c r="B277" s="2">
        <v>44103</v>
      </c>
      <c r="C277" s="14">
        <v>4947.5200000000004</v>
      </c>
      <c r="D277" s="14">
        <v>3945.24</v>
      </c>
      <c r="Q277" s="2">
        <v>44103</v>
      </c>
      <c r="R277" s="14">
        <v>4947.5200000000004</v>
      </c>
      <c r="S277" s="14">
        <v>8948.57</v>
      </c>
    </row>
    <row r="278" spans="2:19" x14ac:dyDescent="0.2">
      <c r="B278" s="2">
        <v>44104</v>
      </c>
      <c r="C278" s="14">
        <v>7656.2</v>
      </c>
      <c r="D278" s="14">
        <v>4947.5200000000004</v>
      </c>
      <c r="Q278" s="2">
        <v>44104</v>
      </c>
      <c r="R278" s="14">
        <v>7656.2</v>
      </c>
      <c r="S278" s="14">
        <v>5739.98</v>
      </c>
    </row>
    <row r="279" spans="2:19" x14ac:dyDescent="0.2">
      <c r="B279" s="2">
        <v>44105</v>
      </c>
      <c r="C279" s="14">
        <v>4059.55</v>
      </c>
      <c r="D279" s="14">
        <v>7656.2</v>
      </c>
      <c r="Q279" s="2">
        <v>44105</v>
      </c>
      <c r="R279" s="14">
        <v>4059.55</v>
      </c>
      <c r="S279" s="14">
        <v>5277.25</v>
      </c>
    </row>
    <row r="280" spans="2:19" x14ac:dyDescent="0.2">
      <c r="B280" s="2">
        <v>44106</v>
      </c>
      <c r="C280" s="14">
        <v>7718.67</v>
      </c>
      <c r="D280" s="14">
        <v>4059.55</v>
      </c>
      <c r="Q280" s="2">
        <v>44106</v>
      </c>
      <c r="R280" s="14">
        <v>7718.67</v>
      </c>
      <c r="S280" s="14">
        <v>3712.46</v>
      </c>
    </row>
    <row r="281" spans="2:19" x14ac:dyDescent="0.2">
      <c r="B281" s="2">
        <v>44107</v>
      </c>
      <c r="C281" s="14">
        <v>6061.63</v>
      </c>
      <c r="D281" s="14">
        <v>7718.67</v>
      </c>
      <c r="Q281" s="2">
        <v>44107</v>
      </c>
      <c r="R281" s="14">
        <v>6061.63</v>
      </c>
      <c r="S281" s="14">
        <v>6050.46</v>
      </c>
    </row>
    <row r="282" spans="2:19" x14ac:dyDescent="0.2">
      <c r="B282" s="2">
        <v>44108</v>
      </c>
      <c r="C282" s="14">
        <v>4156.3</v>
      </c>
      <c r="D282" s="14">
        <v>6061.63</v>
      </c>
      <c r="Q282" s="2">
        <v>44108</v>
      </c>
      <c r="R282" s="14">
        <v>4156.3</v>
      </c>
      <c r="S282" s="14">
        <v>4136.54</v>
      </c>
    </row>
    <row r="283" spans="2:19" x14ac:dyDescent="0.2">
      <c r="B283" s="2">
        <v>44109</v>
      </c>
      <c r="C283" s="14">
        <v>5948.61</v>
      </c>
      <c r="D283" s="14">
        <v>4156.3</v>
      </c>
      <c r="Q283" s="2">
        <v>44109</v>
      </c>
      <c r="R283" s="14">
        <v>5948.61</v>
      </c>
      <c r="S283" s="14">
        <v>5183.01</v>
      </c>
    </row>
    <row r="284" spans="2:19" x14ac:dyDescent="0.2">
      <c r="B284" s="2">
        <v>44110</v>
      </c>
      <c r="C284" s="14">
        <v>6458.83</v>
      </c>
      <c r="D284" s="14">
        <v>5948.61</v>
      </c>
      <c r="Q284" s="2">
        <v>44110</v>
      </c>
      <c r="R284" s="14">
        <v>6458.83</v>
      </c>
      <c r="S284" s="14">
        <v>8840.1299999999992</v>
      </c>
    </row>
    <row r="285" spans="2:19" x14ac:dyDescent="0.2">
      <c r="B285" s="2">
        <v>44111</v>
      </c>
      <c r="C285" s="14">
        <v>5932.71</v>
      </c>
      <c r="D285" s="14">
        <v>6458.83</v>
      </c>
      <c r="Q285" s="2">
        <v>44111</v>
      </c>
      <c r="R285" s="14">
        <v>5932.71</v>
      </c>
      <c r="S285" s="14">
        <v>4855.91</v>
      </c>
    </row>
    <row r="286" spans="2:19" x14ac:dyDescent="0.2">
      <c r="B286" s="2">
        <v>44112</v>
      </c>
      <c r="C286" s="14">
        <v>2644.66</v>
      </c>
      <c r="D286" s="14">
        <v>5932.71</v>
      </c>
      <c r="Q286" s="2">
        <v>44112</v>
      </c>
      <c r="R286" s="14">
        <v>2644.66</v>
      </c>
      <c r="S286" s="14">
        <v>6723.91</v>
      </c>
    </row>
    <row r="287" spans="2:19" x14ac:dyDescent="0.2">
      <c r="B287" s="2">
        <v>44113</v>
      </c>
      <c r="C287" s="14">
        <v>3909.29</v>
      </c>
      <c r="D287" s="14">
        <v>2644.66</v>
      </c>
      <c r="Q287" s="2">
        <v>44113</v>
      </c>
      <c r="R287" s="14">
        <v>3909.29</v>
      </c>
      <c r="S287" s="14">
        <v>3945.24</v>
      </c>
    </row>
    <row r="288" spans="2:19" x14ac:dyDescent="0.2">
      <c r="B288" s="2">
        <v>44114</v>
      </c>
      <c r="C288" s="14">
        <v>4628.72</v>
      </c>
      <c r="D288" s="14">
        <v>3909.29</v>
      </c>
      <c r="Q288" s="2">
        <v>44114</v>
      </c>
      <c r="R288" s="14">
        <v>4628.72</v>
      </c>
      <c r="S288" s="14">
        <v>4947.5200000000004</v>
      </c>
    </row>
    <row r="289" spans="2:19" x14ac:dyDescent="0.2">
      <c r="B289" s="2">
        <v>44115</v>
      </c>
      <c r="C289" s="14">
        <v>4888.3500000000004</v>
      </c>
      <c r="D289" s="14">
        <v>4628.72</v>
      </c>
      <c r="Q289" s="2">
        <v>44115</v>
      </c>
      <c r="R289" s="14">
        <v>4888.3500000000004</v>
      </c>
      <c r="S289" s="14">
        <v>7656.2</v>
      </c>
    </row>
    <row r="290" spans="2:19" x14ac:dyDescent="0.2">
      <c r="B290" s="2">
        <v>44116</v>
      </c>
      <c r="C290" s="14">
        <v>5931.01</v>
      </c>
      <c r="D290" s="14">
        <v>4888.3500000000004</v>
      </c>
      <c r="Q290" s="2">
        <v>44116</v>
      </c>
      <c r="R290" s="14">
        <v>5931.01</v>
      </c>
      <c r="S290" s="14">
        <v>4059.55</v>
      </c>
    </row>
    <row r="291" spans="2:19" x14ac:dyDescent="0.2">
      <c r="B291" s="2">
        <v>44117</v>
      </c>
      <c r="C291" s="14">
        <v>5266.55</v>
      </c>
      <c r="D291" s="14">
        <v>5931.01</v>
      </c>
      <c r="Q291" s="2">
        <v>44117</v>
      </c>
      <c r="R291" s="14">
        <v>5266.55</v>
      </c>
      <c r="S291" s="14">
        <v>7718.67</v>
      </c>
    </row>
    <row r="292" spans="2:19" x14ac:dyDescent="0.2">
      <c r="B292" s="2">
        <v>44118</v>
      </c>
      <c r="C292" s="14">
        <v>2996.98</v>
      </c>
      <c r="D292" s="14">
        <v>5266.55</v>
      </c>
      <c r="Q292" s="2">
        <v>44118</v>
      </c>
      <c r="R292" s="14">
        <v>2996.98</v>
      </c>
      <c r="S292" s="14">
        <v>6061.63</v>
      </c>
    </row>
    <row r="293" spans="2:19" x14ac:dyDescent="0.2">
      <c r="B293" s="2">
        <v>44119</v>
      </c>
      <c r="C293" s="14">
        <v>5570.3</v>
      </c>
      <c r="D293" s="14">
        <v>2996.98</v>
      </c>
      <c r="Q293" s="2">
        <v>44119</v>
      </c>
      <c r="R293" s="14">
        <v>5570.3</v>
      </c>
      <c r="S293" s="14">
        <v>4156.3</v>
      </c>
    </row>
    <row r="294" spans="2:19" x14ac:dyDescent="0.2">
      <c r="B294" s="2">
        <v>44120</v>
      </c>
      <c r="C294" s="14">
        <v>5915.88</v>
      </c>
      <c r="D294" s="14">
        <v>5570.3</v>
      </c>
      <c r="Q294" s="2">
        <v>44120</v>
      </c>
      <c r="R294" s="14">
        <v>5915.88</v>
      </c>
      <c r="S294" s="14">
        <v>5948.61</v>
      </c>
    </row>
    <row r="295" spans="2:19" x14ac:dyDescent="0.2">
      <c r="B295" s="2">
        <v>44121</v>
      </c>
      <c r="C295" s="14">
        <v>5839.69</v>
      </c>
      <c r="D295" s="14">
        <v>5915.88</v>
      </c>
      <c r="Q295" s="2">
        <v>44121</v>
      </c>
      <c r="R295" s="14">
        <v>5839.69</v>
      </c>
      <c r="S295" s="14">
        <v>6458.83</v>
      </c>
    </row>
    <row r="296" spans="2:19" x14ac:dyDescent="0.2">
      <c r="B296" s="2">
        <v>44122</v>
      </c>
      <c r="C296" s="14">
        <v>6621.17</v>
      </c>
      <c r="D296" s="14">
        <v>5839.69</v>
      </c>
      <c r="Q296" s="2">
        <v>44122</v>
      </c>
      <c r="R296" s="14">
        <v>6621.17</v>
      </c>
      <c r="S296" s="14">
        <v>5932.71</v>
      </c>
    </row>
    <row r="297" spans="2:19" x14ac:dyDescent="0.2">
      <c r="B297" s="2">
        <v>44123</v>
      </c>
      <c r="C297" s="14">
        <v>6250.88</v>
      </c>
      <c r="D297" s="14">
        <v>6621.17</v>
      </c>
      <c r="Q297" s="2">
        <v>44123</v>
      </c>
      <c r="R297" s="14">
        <v>6250.88</v>
      </c>
      <c r="S297" s="14">
        <v>2644.66</v>
      </c>
    </row>
    <row r="298" spans="2:19" x14ac:dyDescent="0.2">
      <c r="B298" s="2">
        <v>44124</v>
      </c>
      <c r="C298" s="14">
        <v>5688.77</v>
      </c>
      <c r="D298" s="14">
        <v>6250.88</v>
      </c>
      <c r="Q298" s="2">
        <v>44124</v>
      </c>
      <c r="R298" s="14">
        <v>5688.77</v>
      </c>
      <c r="S298" s="14">
        <v>3909.29</v>
      </c>
    </row>
    <row r="299" spans="2:19" x14ac:dyDescent="0.2">
      <c r="B299" s="2">
        <v>44125</v>
      </c>
      <c r="C299" s="14">
        <v>4894.75</v>
      </c>
      <c r="D299" s="14">
        <v>5688.77</v>
      </c>
      <c r="Q299" s="2">
        <v>44125</v>
      </c>
      <c r="R299" s="14">
        <v>4894.75</v>
      </c>
      <c r="S299" s="14">
        <v>4628.72</v>
      </c>
    </row>
    <row r="300" spans="2:19" x14ac:dyDescent="0.2">
      <c r="B300" s="2">
        <v>44126</v>
      </c>
      <c r="C300" s="14">
        <v>2508.56</v>
      </c>
      <c r="D300" s="14">
        <v>4894.75</v>
      </c>
      <c r="Q300" s="2">
        <v>44126</v>
      </c>
      <c r="R300" s="14">
        <v>2508.56</v>
      </c>
      <c r="S300" s="14">
        <v>4888.3500000000004</v>
      </c>
    </row>
    <row r="301" spans="2:19" x14ac:dyDescent="0.2">
      <c r="B301" s="2">
        <v>44127</v>
      </c>
      <c r="C301" s="14">
        <v>5644.43</v>
      </c>
      <c r="D301" s="14">
        <v>2508.56</v>
      </c>
      <c r="Q301" s="2">
        <v>44127</v>
      </c>
      <c r="R301" s="14">
        <v>5644.43</v>
      </c>
      <c r="S301" s="14">
        <v>5931.01</v>
      </c>
    </row>
    <row r="302" spans="2:19" x14ac:dyDescent="0.2">
      <c r="B302" s="2">
        <v>44128</v>
      </c>
      <c r="C302" s="14">
        <v>5311.53</v>
      </c>
      <c r="D302" s="14">
        <v>5644.43</v>
      </c>
      <c r="Q302" s="2">
        <v>44128</v>
      </c>
      <c r="R302" s="14">
        <v>5311.53</v>
      </c>
      <c r="S302" s="14">
        <v>5266.55</v>
      </c>
    </row>
    <row r="303" spans="2:19" x14ac:dyDescent="0.2">
      <c r="B303" s="2">
        <v>44129</v>
      </c>
      <c r="C303" s="14">
        <v>5407.37</v>
      </c>
      <c r="D303" s="14">
        <v>5311.53</v>
      </c>
      <c r="Q303" s="2">
        <v>44129</v>
      </c>
      <c r="R303" s="14">
        <v>5407.37</v>
      </c>
      <c r="S303" s="14">
        <v>2996.98</v>
      </c>
    </row>
    <row r="304" spans="2:19" x14ac:dyDescent="0.2">
      <c r="B304" s="2">
        <v>44130</v>
      </c>
      <c r="C304" s="14">
        <v>3084.88</v>
      </c>
      <c r="D304" s="14">
        <v>5407.37</v>
      </c>
      <c r="Q304" s="2">
        <v>44130</v>
      </c>
      <c r="R304" s="14">
        <v>3084.88</v>
      </c>
      <c r="S304" s="14">
        <v>5570.3</v>
      </c>
    </row>
    <row r="305" spans="2:19" x14ac:dyDescent="0.2">
      <c r="B305" s="2">
        <v>44131</v>
      </c>
      <c r="C305" s="14">
        <v>3378.42</v>
      </c>
      <c r="D305" s="14">
        <v>3084.88</v>
      </c>
      <c r="Q305" s="2">
        <v>44131</v>
      </c>
      <c r="R305" s="14">
        <v>3378.42</v>
      </c>
      <c r="S305" s="14">
        <v>5915.88</v>
      </c>
    </row>
    <row r="306" spans="2:19" x14ac:dyDescent="0.2">
      <c r="B306" s="2">
        <v>44132</v>
      </c>
      <c r="C306" s="14">
        <v>6579.73</v>
      </c>
      <c r="D306" s="14">
        <v>3378.42</v>
      </c>
      <c r="Q306" s="2">
        <v>44132</v>
      </c>
      <c r="R306" s="14">
        <v>6579.73</v>
      </c>
      <c r="S306" s="14">
        <v>5839.69</v>
      </c>
    </row>
    <row r="307" spans="2:19" x14ac:dyDescent="0.2">
      <c r="B307" s="2">
        <v>44133</v>
      </c>
      <c r="C307" s="14">
        <v>4940.67</v>
      </c>
      <c r="D307" s="14">
        <v>6579.73</v>
      </c>
      <c r="Q307" s="2">
        <v>44133</v>
      </c>
      <c r="R307" s="14">
        <v>4940.67</v>
      </c>
      <c r="S307" s="14">
        <v>6621.17</v>
      </c>
    </row>
    <row r="308" spans="2:19" x14ac:dyDescent="0.2">
      <c r="B308" s="2">
        <v>44134</v>
      </c>
      <c r="C308" s="14">
        <v>6022.25</v>
      </c>
      <c r="D308" s="14">
        <v>4940.67</v>
      </c>
      <c r="Q308" s="2">
        <v>44134</v>
      </c>
      <c r="R308" s="14">
        <v>6022.25</v>
      </c>
      <c r="S308" s="14">
        <v>6250.88</v>
      </c>
    </row>
    <row r="309" spans="2:19" x14ac:dyDescent="0.2">
      <c r="B309" s="2">
        <v>44135</v>
      </c>
      <c r="C309" s="14">
        <v>5042.4799999999996</v>
      </c>
      <c r="D309" s="14">
        <v>6022.25</v>
      </c>
      <c r="Q309" s="2">
        <v>44135</v>
      </c>
      <c r="R309" s="14">
        <v>5042.4799999999996</v>
      </c>
      <c r="S309" s="14">
        <v>5688.77</v>
      </c>
    </row>
    <row r="310" spans="2:19" x14ac:dyDescent="0.2">
      <c r="B310" s="2">
        <v>44136</v>
      </c>
      <c r="C310" s="14">
        <v>5044.63</v>
      </c>
      <c r="D310" s="14">
        <v>5042.4799999999996</v>
      </c>
      <c r="Q310" s="2">
        <v>44136</v>
      </c>
      <c r="R310" s="14">
        <v>5044.63</v>
      </c>
      <c r="S310" s="14">
        <v>4894.75</v>
      </c>
    </row>
    <row r="311" spans="2:19" x14ac:dyDescent="0.2">
      <c r="B311" s="2">
        <v>44137</v>
      </c>
      <c r="C311" s="14">
        <v>6407.43</v>
      </c>
      <c r="D311" s="14">
        <v>5044.63</v>
      </c>
      <c r="Q311" s="2">
        <v>44137</v>
      </c>
      <c r="R311" s="14">
        <v>6407.43</v>
      </c>
      <c r="S311" s="14">
        <v>2508.56</v>
      </c>
    </row>
    <row r="312" spans="2:19" x14ac:dyDescent="0.2">
      <c r="B312" s="2">
        <v>44138</v>
      </c>
      <c r="C312" s="14">
        <v>4225.93</v>
      </c>
      <c r="D312" s="14">
        <v>6407.43</v>
      </c>
      <c r="Q312" s="2">
        <v>44138</v>
      </c>
      <c r="R312" s="14">
        <v>4225.93</v>
      </c>
      <c r="S312" s="14">
        <v>5644.43</v>
      </c>
    </row>
    <row r="313" spans="2:19" x14ac:dyDescent="0.2">
      <c r="B313" s="2">
        <v>44139</v>
      </c>
      <c r="C313" s="14">
        <v>5144.18</v>
      </c>
      <c r="D313" s="14">
        <v>4225.93</v>
      </c>
      <c r="Q313" s="2">
        <v>44139</v>
      </c>
      <c r="R313" s="14">
        <v>5144.18</v>
      </c>
      <c r="S313" s="14">
        <v>5311.53</v>
      </c>
    </row>
    <row r="314" spans="2:19" x14ac:dyDescent="0.2">
      <c r="B314" s="2">
        <v>44140</v>
      </c>
      <c r="C314" s="14">
        <v>4306.59</v>
      </c>
      <c r="D314" s="14">
        <v>5144.18</v>
      </c>
      <c r="Q314" s="2">
        <v>44140</v>
      </c>
      <c r="R314" s="14">
        <v>4306.59</v>
      </c>
      <c r="S314" s="14">
        <v>5407.37</v>
      </c>
    </row>
    <row r="315" spans="2:19" x14ac:dyDescent="0.2">
      <c r="B315" s="2">
        <v>44141</v>
      </c>
      <c r="C315" s="14">
        <v>4348.26</v>
      </c>
      <c r="D315" s="14">
        <v>4306.59</v>
      </c>
      <c r="Q315" s="2">
        <v>44141</v>
      </c>
      <c r="R315" s="14">
        <v>4348.26</v>
      </c>
      <c r="S315" s="14">
        <v>3084.88</v>
      </c>
    </row>
    <row r="316" spans="2:19" x14ac:dyDescent="0.2">
      <c r="B316" s="2">
        <v>44142</v>
      </c>
      <c r="C316" s="14">
        <v>4536.24</v>
      </c>
      <c r="D316" s="14">
        <v>4348.26</v>
      </c>
      <c r="Q316" s="2">
        <v>44142</v>
      </c>
      <c r="R316" s="14">
        <v>4536.24</v>
      </c>
      <c r="S316" s="14">
        <v>3378.42</v>
      </c>
    </row>
    <row r="317" spans="2:19" x14ac:dyDescent="0.2">
      <c r="B317" s="2">
        <v>44143</v>
      </c>
      <c r="C317" s="14">
        <v>5333.2</v>
      </c>
      <c r="D317" s="14">
        <v>4536.24</v>
      </c>
      <c r="Q317" s="2">
        <v>44143</v>
      </c>
      <c r="R317" s="14">
        <v>5333.2</v>
      </c>
      <c r="S317" s="14">
        <v>6579.73</v>
      </c>
    </row>
    <row r="318" spans="2:19" x14ac:dyDescent="0.2">
      <c r="B318" s="2">
        <v>44144</v>
      </c>
      <c r="C318" s="14">
        <v>4281.88</v>
      </c>
      <c r="D318" s="14">
        <v>5333.2</v>
      </c>
      <c r="Q318" s="2">
        <v>44144</v>
      </c>
      <c r="R318" s="14">
        <v>4281.88</v>
      </c>
      <c r="S318" s="14">
        <v>4940.67</v>
      </c>
    </row>
    <row r="319" spans="2:19" x14ac:dyDescent="0.2">
      <c r="B319" s="2">
        <v>44145</v>
      </c>
      <c r="C319" s="14">
        <v>6883.63</v>
      </c>
      <c r="D319" s="14">
        <v>4281.88</v>
      </c>
      <c r="Q319" s="2">
        <v>44145</v>
      </c>
      <c r="R319" s="14">
        <v>6883.63</v>
      </c>
      <c r="S319" s="14">
        <v>6022.25</v>
      </c>
    </row>
    <row r="320" spans="2:19" x14ac:dyDescent="0.2">
      <c r="B320" s="2">
        <v>44146</v>
      </c>
      <c r="C320" s="14">
        <v>3658.09</v>
      </c>
      <c r="D320" s="14">
        <v>6883.63</v>
      </c>
      <c r="Q320" s="2">
        <v>44146</v>
      </c>
      <c r="R320" s="14">
        <v>3658.09</v>
      </c>
      <c r="S320" s="14">
        <v>5042.4799999999996</v>
      </c>
    </row>
    <row r="321" spans="2:19" x14ac:dyDescent="0.2">
      <c r="B321" s="2">
        <v>44147</v>
      </c>
      <c r="C321" s="14">
        <v>4719.6899999999996</v>
      </c>
      <c r="D321" s="14">
        <v>3658.09</v>
      </c>
      <c r="Q321" s="2">
        <v>44147</v>
      </c>
      <c r="R321" s="14">
        <v>4719.6899999999996</v>
      </c>
      <c r="S321" s="14">
        <v>5044.63</v>
      </c>
    </row>
    <row r="322" spans="2:19" x14ac:dyDescent="0.2">
      <c r="B322" s="2">
        <v>44148</v>
      </c>
      <c r="C322" s="14">
        <v>4340.3999999999996</v>
      </c>
      <c r="D322" s="14">
        <v>4719.6899999999996</v>
      </c>
      <c r="Q322" s="2">
        <v>44148</v>
      </c>
      <c r="R322" s="14">
        <v>4340.3999999999996</v>
      </c>
      <c r="S322" s="14">
        <v>6407.43</v>
      </c>
    </row>
    <row r="323" spans="2:19" x14ac:dyDescent="0.2">
      <c r="B323" s="2">
        <v>44149</v>
      </c>
      <c r="C323" s="14">
        <v>7170.47</v>
      </c>
      <c r="D323" s="14">
        <v>4340.3999999999996</v>
      </c>
      <c r="Q323" s="2">
        <v>44149</v>
      </c>
      <c r="R323" s="14">
        <v>7170.47</v>
      </c>
      <c r="S323" s="14">
        <v>4225.93</v>
      </c>
    </row>
    <row r="324" spans="2:19" x14ac:dyDescent="0.2">
      <c r="B324" s="2">
        <v>44150</v>
      </c>
      <c r="C324" s="14">
        <v>5294.83</v>
      </c>
      <c r="D324" s="14">
        <v>7170.47</v>
      </c>
      <c r="Q324" s="2">
        <v>44150</v>
      </c>
      <c r="R324" s="14">
        <v>5294.83</v>
      </c>
      <c r="S324" s="14">
        <v>5144.18</v>
      </c>
    </row>
    <row r="325" spans="2:19" x14ac:dyDescent="0.2">
      <c r="B325" s="2">
        <v>44151</v>
      </c>
      <c r="C325" s="14">
        <v>6547.77</v>
      </c>
      <c r="D325" s="14">
        <v>5294.83</v>
      </c>
      <c r="Q325" s="2">
        <v>44151</v>
      </c>
      <c r="R325" s="14">
        <v>6547.77</v>
      </c>
      <c r="S325" s="14">
        <v>4306.59</v>
      </c>
    </row>
    <row r="326" spans="2:19" x14ac:dyDescent="0.2">
      <c r="B326" s="2">
        <v>44152</v>
      </c>
      <c r="C326" s="14">
        <v>2771.66</v>
      </c>
      <c r="D326" s="14">
        <v>6547.77</v>
      </c>
      <c r="Q326" s="2">
        <v>44152</v>
      </c>
      <c r="R326" s="14">
        <v>2771.66</v>
      </c>
      <c r="S326" s="14">
        <v>4348.26</v>
      </c>
    </row>
    <row r="327" spans="2:19" x14ac:dyDescent="0.2">
      <c r="B327" s="2">
        <v>44153</v>
      </c>
      <c r="C327" s="14">
        <v>5400.58</v>
      </c>
      <c r="D327" s="14">
        <v>2771.66</v>
      </c>
      <c r="Q327" s="2">
        <v>44153</v>
      </c>
      <c r="R327" s="14">
        <v>5400.58</v>
      </c>
      <c r="S327" s="14">
        <v>4536.24</v>
      </c>
    </row>
    <row r="328" spans="2:19" x14ac:dyDescent="0.2">
      <c r="B328" s="2">
        <v>44154</v>
      </c>
      <c r="C328" s="14">
        <v>6334.45</v>
      </c>
      <c r="D328" s="14">
        <v>5400.58</v>
      </c>
      <c r="Q328" s="2">
        <v>44154</v>
      </c>
      <c r="R328" s="14">
        <v>6334.45</v>
      </c>
      <c r="S328" s="14">
        <v>5333.2</v>
      </c>
    </row>
    <row r="329" spans="2:19" x14ac:dyDescent="0.2">
      <c r="B329" s="2">
        <v>44155</v>
      </c>
      <c r="C329" s="14">
        <v>5123.43</v>
      </c>
      <c r="D329" s="14">
        <v>6334.45</v>
      </c>
      <c r="Q329" s="2">
        <v>44155</v>
      </c>
      <c r="R329" s="14">
        <v>5123.43</v>
      </c>
      <c r="S329" s="14">
        <v>4281.88</v>
      </c>
    </row>
    <row r="330" spans="2:19" x14ac:dyDescent="0.2">
      <c r="B330" s="2">
        <v>44156</v>
      </c>
      <c r="C330" s="14">
        <v>6598.22</v>
      </c>
      <c r="D330" s="14">
        <v>5123.43</v>
      </c>
      <c r="Q330" s="2">
        <v>44156</v>
      </c>
      <c r="R330" s="14">
        <v>6598.22</v>
      </c>
      <c r="S330" s="14">
        <v>6883.63</v>
      </c>
    </row>
    <row r="331" spans="2:19" x14ac:dyDescent="0.2">
      <c r="B331" s="2">
        <v>44157</v>
      </c>
      <c r="C331" s="14">
        <v>4224.07</v>
      </c>
      <c r="D331" s="14">
        <v>6598.22</v>
      </c>
      <c r="Q331" s="2">
        <v>44157</v>
      </c>
      <c r="R331" s="14">
        <v>4224.07</v>
      </c>
      <c r="S331" s="14">
        <v>3658.09</v>
      </c>
    </row>
    <row r="332" spans="2:19" x14ac:dyDescent="0.2">
      <c r="B332" s="2">
        <v>44158</v>
      </c>
      <c r="C332" s="14">
        <v>7114.02</v>
      </c>
      <c r="D332" s="14">
        <v>4224.07</v>
      </c>
      <c r="Q332" s="2">
        <v>44158</v>
      </c>
      <c r="R332" s="14">
        <v>7114.02</v>
      </c>
      <c r="S332" s="14">
        <v>4719.6899999999996</v>
      </c>
    </row>
    <row r="333" spans="2:19" x14ac:dyDescent="0.2">
      <c r="B333" s="2">
        <v>44159</v>
      </c>
      <c r="C333" s="14">
        <v>8448.35</v>
      </c>
      <c r="D333" s="14">
        <v>7114.02</v>
      </c>
      <c r="Q333" s="2">
        <v>44159</v>
      </c>
      <c r="R333" s="14">
        <v>8448.35</v>
      </c>
      <c r="S333" s="14">
        <v>4340.3999999999996</v>
      </c>
    </row>
    <row r="334" spans="2:19" x14ac:dyDescent="0.2">
      <c r="B334" s="2">
        <v>44160</v>
      </c>
      <c r="C334" s="14">
        <v>4455.74</v>
      </c>
      <c r="D334" s="14">
        <v>8448.35</v>
      </c>
      <c r="Q334" s="2">
        <v>44160</v>
      </c>
      <c r="R334" s="14">
        <v>4455.74</v>
      </c>
      <c r="S334" s="14">
        <v>7170.47</v>
      </c>
    </row>
    <row r="335" spans="2:19" x14ac:dyDescent="0.2">
      <c r="B335" s="2">
        <v>44161</v>
      </c>
      <c r="C335" s="14">
        <v>4331.75</v>
      </c>
      <c r="D335" s="14">
        <v>4455.74</v>
      </c>
      <c r="Q335" s="2">
        <v>44161</v>
      </c>
      <c r="R335" s="14">
        <v>4331.75</v>
      </c>
      <c r="S335" s="14">
        <v>5294.83</v>
      </c>
    </row>
    <row r="336" spans="2:19" x14ac:dyDescent="0.2">
      <c r="B336" s="2">
        <v>44162</v>
      </c>
      <c r="C336" s="14">
        <v>7180.08</v>
      </c>
      <c r="D336" s="14">
        <v>4331.75</v>
      </c>
      <c r="Q336" s="2">
        <v>44162</v>
      </c>
      <c r="R336" s="14">
        <v>7180.08</v>
      </c>
      <c r="S336" s="14">
        <v>6547.77</v>
      </c>
    </row>
    <row r="337" spans="2:19" x14ac:dyDescent="0.2">
      <c r="B337" s="2">
        <v>44163</v>
      </c>
      <c r="C337" s="14">
        <v>7369.36</v>
      </c>
      <c r="D337" s="14">
        <v>7180.08</v>
      </c>
      <c r="Q337" s="2">
        <v>44163</v>
      </c>
      <c r="R337" s="14">
        <v>7369.36</v>
      </c>
      <c r="S337" s="14">
        <v>2771.66</v>
      </c>
    </row>
    <row r="338" spans="2:19" x14ac:dyDescent="0.2">
      <c r="B338" s="2">
        <v>44164</v>
      </c>
      <c r="C338" s="14">
        <v>4215.71</v>
      </c>
      <c r="D338" s="14">
        <v>7369.36</v>
      </c>
      <c r="Q338" s="2">
        <v>44164</v>
      </c>
      <c r="R338" s="14">
        <v>4215.71</v>
      </c>
      <c r="S338" s="14">
        <v>5400.58</v>
      </c>
    </row>
    <row r="339" spans="2:19" x14ac:dyDescent="0.2">
      <c r="B339" s="2">
        <v>44165</v>
      </c>
      <c r="C339" s="14">
        <v>4369.72</v>
      </c>
      <c r="D339" s="14">
        <v>4215.71</v>
      </c>
      <c r="Q339" s="2">
        <v>44165</v>
      </c>
      <c r="R339" s="14">
        <v>4369.72</v>
      </c>
      <c r="S339" s="14">
        <v>6334.45</v>
      </c>
    </row>
    <row r="340" spans="2:19" x14ac:dyDescent="0.2">
      <c r="B340" s="2">
        <v>44166</v>
      </c>
      <c r="C340" s="14">
        <v>4577.32</v>
      </c>
      <c r="D340" s="14">
        <v>4369.72</v>
      </c>
      <c r="Q340" s="2">
        <v>44166</v>
      </c>
      <c r="R340" s="14">
        <v>4577.32</v>
      </c>
      <c r="S340" s="14">
        <v>5123.43</v>
      </c>
    </row>
    <row r="341" spans="2:19" x14ac:dyDescent="0.2">
      <c r="B341" s="2">
        <v>44167</v>
      </c>
      <c r="C341" s="14">
        <v>2983.32</v>
      </c>
      <c r="D341" s="14">
        <v>4577.32</v>
      </c>
      <c r="Q341" s="2">
        <v>44167</v>
      </c>
      <c r="R341" s="14">
        <v>2983.32</v>
      </c>
      <c r="S341" s="14">
        <v>6598.22</v>
      </c>
    </row>
    <row r="342" spans="2:19" x14ac:dyDescent="0.2">
      <c r="B342" s="2">
        <v>44168</v>
      </c>
      <c r="C342" s="14">
        <v>3622.02</v>
      </c>
      <c r="D342" s="14">
        <v>2983.32</v>
      </c>
      <c r="Q342" s="2">
        <v>44168</v>
      </c>
      <c r="R342" s="14">
        <v>3622.02</v>
      </c>
      <c r="S342" s="14">
        <v>4224.07</v>
      </c>
    </row>
    <row r="343" spans="2:19" x14ac:dyDescent="0.2">
      <c r="B343" s="2">
        <v>44169</v>
      </c>
      <c r="C343" s="14">
        <v>3493.79</v>
      </c>
      <c r="D343" s="14">
        <v>3622.02</v>
      </c>
      <c r="Q343" s="2">
        <v>44169</v>
      </c>
      <c r="R343" s="14">
        <v>3493.79</v>
      </c>
      <c r="S343" s="14">
        <v>7114.02</v>
      </c>
    </row>
    <row r="344" spans="2:19" x14ac:dyDescent="0.2">
      <c r="B344" s="2">
        <v>44170</v>
      </c>
      <c r="C344" s="14">
        <v>3848.3</v>
      </c>
      <c r="D344" s="14">
        <v>3493.79</v>
      </c>
      <c r="Q344" s="2">
        <v>44170</v>
      </c>
      <c r="R344" s="14">
        <v>3848.3</v>
      </c>
      <c r="S344" s="14">
        <v>8448.35</v>
      </c>
    </row>
    <row r="345" spans="2:19" x14ac:dyDescent="0.2">
      <c r="B345" s="2">
        <v>44171</v>
      </c>
      <c r="C345" s="14">
        <v>4947.97</v>
      </c>
      <c r="D345" s="14">
        <v>3848.3</v>
      </c>
      <c r="Q345" s="2">
        <v>44171</v>
      </c>
      <c r="R345" s="14">
        <v>4947.97</v>
      </c>
      <c r="S345" s="14">
        <v>4455.74</v>
      </c>
    </row>
    <row r="346" spans="2:19" x14ac:dyDescent="0.2">
      <c r="B346" s="2">
        <v>44172</v>
      </c>
      <c r="C346" s="14">
        <v>5351.32</v>
      </c>
      <c r="D346" s="14">
        <v>4947.97</v>
      </c>
      <c r="Q346" s="2">
        <v>44172</v>
      </c>
      <c r="R346" s="14">
        <v>5351.32</v>
      </c>
      <c r="S346" s="14">
        <v>4331.75</v>
      </c>
    </row>
    <row r="347" spans="2:19" x14ac:dyDescent="0.2">
      <c r="B347" s="2">
        <v>44173</v>
      </c>
      <c r="C347" s="14">
        <v>7325.75</v>
      </c>
      <c r="D347" s="14">
        <v>5351.32</v>
      </c>
      <c r="Q347" s="2">
        <v>44173</v>
      </c>
      <c r="R347" s="14">
        <v>7325.75</v>
      </c>
      <c r="S347" s="14">
        <v>7180.08</v>
      </c>
    </row>
    <row r="348" spans="2:19" x14ac:dyDescent="0.2">
      <c r="B348" s="2">
        <v>44174</v>
      </c>
      <c r="C348" s="14">
        <v>3502.47</v>
      </c>
      <c r="D348" s="14">
        <v>7325.75</v>
      </c>
      <c r="Q348" s="2">
        <v>44174</v>
      </c>
      <c r="R348" s="14">
        <v>3502.47</v>
      </c>
      <c r="S348" s="14">
        <v>7369.36</v>
      </c>
    </row>
    <row r="349" spans="2:19" x14ac:dyDescent="0.2">
      <c r="B349" s="2">
        <v>44175</v>
      </c>
      <c r="C349" s="14">
        <v>6476.48</v>
      </c>
      <c r="D349" s="14">
        <v>3502.47</v>
      </c>
      <c r="Q349" s="2">
        <v>44175</v>
      </c>
      <c r="R349" s="14">
        <v>6476.48</v>
      </c>
      <c r="S349" s="14">
        <v>4215.71</v>
      </c>
    </row>
    <row r="350" spans="2:19" x14ac:dyDescent="0.2">
      <c r="B350" s="2">
        <v>44176</v>
      </c>
      <c r="C350" s="14">
        <v>4679.0200000000004</v>
      </c>
      <c r="D350" s="14">
        <v>6476.48</v>
      </c>
      <c r="Q350" s="2">
        <v>44176</v>
      </c>
      <c r="R350" s="14">
        <v>4679.0200000000004</v>
      </c>
      <c r="S350" s="14">
        <v>4369.72</v>
      </c>
    </row>
    <row r="351" spans="2:19" x14ac:dyDescent="0.2">
      <c r="B351" s="2">
        <v>44177</v>
      </c>
      <c r="C351" s="14">
        <v>4925.8</v>
      </c>
      <c r="D351" s="14">
        <v>4679.0200000000004</v>
      </c>
      <c r="Q351" s="2">
        <v>44177</v>
      </c>
      <c r="R351" s="14">
        <v>4925.8</v>
      </c>
      <c r="S351" s="14">
        <v>4577.32</v>
      </c>
    </row>
    <row r="352" spans="2:19" x14ac:dyDescent="0.2">
      <c r="B352" s="2">
        <v>44178</v>
      </c>
      <c r="C352" s="14">
        <v>6012.23</v>
      </c>
      <c r="D352" s="14">
        <v>4925.8</v>
      </c>
      <c r="Q352" s="2">
        <v>44178</v>
      </c>
      <c r="R352" s="14">
        <v>6012.23</v>
      </c>
      <c r="S352" s="14">
        <v>2983.32</v>
      </c>
    </row>
    <row r="353" spans="2:19" x14ac:dyDescent="0.2">
      <c r="B353" s="2">
        <v>44179</v>
      </c>
      <c r="C353" s="14">
        <v>3315.92</v>
      </c>
      <c r="D353" s="14">
        <v>6012.23</v>
      </c>
      <c r="Q353" s="2">
        <v>44179</v>
      </c>
      <c r="R353" s="14">
        <v>3315.92</v>
      </c>
      <c r="S353" s="14">
        <v>3622.02</v>
      </c>
    </row>
    <row r="354" spans="2:19" x14ac:dyDescent="0.2">
      <c r="B354" s="2">
        <v>44180</v>
      </c>
      <c r="C354" s="14">
        <v>5573.61</v>
      </c>
      <c r="D354" s="14">
        <v>3315.92</v>
      </c>
      <c r="Q354" s="2">
        <v>44180</v>
      </c>
      <c r="R354" s="14">
        <v>5573.61</v>
      </c>
      <c r="S354" s="14">
        <v>3493.79</v>
      </c>
    </row>
    <row r="355" spans="2:19" x14ac:dyDescent="0.2">
      <c r="B355" s="2">
        <v>44181</v>
      </c>
      <c r="C355" s="14">
        <v>5249.68</v>
      </c>
      <c r="D355" s="14">
        <v>5573.61</v>
      </c>
      <c r="Q355" s="2">
        <v>44181</v>
      </c>
      <c r="R355" s="14">
        <v>5249.68</v>
      </c>
      <c r="S355" s="14">
        <v>3848.3</v>
      </c>
    </row>
    <row r="356" spans="2:19" x14ac:dyDescent="0.2">
      <c r="B356" s="2">
        <v>44182</v>
      </c>
      <c r="C356" s="14">
        <v>5738.68</v>
      </c>
      <c r="D356" s="14">
        <v>5249.68</v>
      </c>
      <c r="Q356" s="2">
        <v>44182</v>
      </c>
      <c r="R356" s="14">
        <v>5738.68</v>
      </c>
      <c r="S356" s="14">
        <v>4947.97</v>
      </c>
    </row>
    <row r="357" spans="2:19" x14ac:dyDescent="0.2">
      <c r="B357" s="2">
        <v>44183</v>
      </c>
      <c r="C357" s="14">
        <v>5433.75</v>
      </c>
      <c r="D357" s="14">
        <v>5738.68</v>
      </c>
      <c r="Q357" s="2">
        <v>44183</v>
      </c>
      <c r="R357" s="14">
        <v>5433.75</v>
      </c>
      <c r="S357" s="14">
        <v>5351.32</v>
      </c>
    </row>
    <row r="358" spans="2:19" x14ac:dyDescent="0.2">
      <c r="B358" s="2">
        <v>44184</v>
      </c>
      <c r="C358" s="14">
        <v>8682.9500000000007</v>
      </c>
      <c r="D358" s="14">
        <v>5433.75</v>
      </c>
      <c r="Q358" s="2">
        <v>44184</v>
      </c>
      <c r="R358" s="14">
        <v>8682.9500000000007</v>
      </c>
      <c r="S358" s="14">
        <v>7325.75</v>
      </c>
    </row>
    <row r="359" spans="2:19" x14ac:dyDescent="0.2">
      <c r="B359" s="2">
        <v>44185</v>
      </c>
      <c r="C359" s="14">
        <v>4043.39</v>
      </c>
      <c r="D359" s="14">
        <v>8682.9500000000007</v>
      </c>
      <c r="Q359" s="2">
        <v>44185</v>
      </c>
      <c r="R359" s="14">
        <v>4043.39</v>
      </c>
      <c r="S359" s="14">
        <v>3502.47</v>
      </c>
    </row>
    <row r="360" spans="2:19" x14ac:dyDescent="0.2">
      <c r="B360" s="2">
        <v>44186</v>
      </c>
      <c r="C360" s="14">
        <v>4203.5</v>
      </c>
      <c r="D360" s="14">
        <v>4043.39</v>
      </c>
      <c r="Q360" s="2">
        <v>44186</v>
      </c>
      <c r="R360" s="14">
        <v>4203.5</v>
      </c>
      <c r="S360" s="14">
        <v>6476.48</v>
      </c>
    </row>
    <row r="361" spans="2:19" x14ac:dyDescent="0.2">
      <c r="B361" s="2">
        <v>44187</v>
      </c>
      <c r="C361" s="14">
        <v>4065.29</v>
      </c>
      <c r="D361" s="14">
        <v>4203.5</v>
      </c>
      <c r="Q361" s="2">
        <v>44187</v>
      </c>
      <c r="R361" s="14">
        <v>4065.29</v>
      </c>
      <c r="S361" s="14">
        <v>4679.0200000000004</v>
      </c>
    </row>
    <row r="362" spans="2:19" x14ac:dyDescent="0.2">
      <c r="B362" s="2">
        <v>44188</v>
      </c>
      <c r="C362" s="14">
        <v>4166.78</v>
      </c>
      <c r="D362" s="14">
        <v>4065.29</v>
      </c>
      <c r="Q362" s="2">
        <v>44188</v>
      </c>
      <c r="R362" s="14">
        <v>4166.78</v>
      </c>
      <c r="S362" s="14">
        <v>4925.8</v>
      </c>
    </row>
    <row r="363" spans="2:19" x14ac:dyDescent="0.2">
      <c r="B363" s="2">
        <v>44189</v>
      </c>
      <c r="C363" s="14">
        <v>4043.92</v>
      </c>
      <c r="D363" s="14">
        <v>4166.78</v>
      </c>
      <c r="Q363" s="2">
        <v>44189</v>
      </c>
      <c r="R363" s="14">
        <v>4043.92</v>
      </c>
      <c r="S363" s="14">
        <v>6012.23</v>
      </c>
    </row>
    <row r="364" spans="2:19" x14ac:dyDescent="0.2">
      <c r="B364" s="2">
        <v>44190</v>
      </c>
      <c r="C364" s="14">
        <v>6783.52</v>
      </c>
      <c r="D364" s="14">
        <v>4043.92</v>
      </c>
      <c r="Q364" s="2">
        <v>44190</v>
      </c>
      <c r="R364" s="14">
        <v>6783.52</v>
      </c>
      <c r="S364" s="14">
        <v>3315.92</v>
      </c>
    </row>
    <row r="365" spans="2:19" x14ac:dyDescent="0.2">
      <c r="B365" s="2">
        <v>44191</v>
      </c>
      <c r="C365" s="14">
        <v>7130.76</v>
      </c>
      <c r="D365" s="14">
        <v>6783.52</v>
      </c>
      <c r="Q365" s="2">
        <v>44191</v>
      </c>
      <c r="R365" s="14">
        <v>7130.76</v>
      </c>
      <c r="S365" s="14">
        <v>5573.61</v>
      </c>
    </row>
    <row r="366" spans="2:19" x14ac:dyDescent="0.2">
      <c r="B366" s="2">
        <v>44192</v>
      </c>
      <c r="C366" s="14">
        <v>4143.88</v>
      </c>
      <c r="D366" s="14">
        <v>7130.76</v>
      </c>
      <c r="Q366" s="2">
        <v>44192</v>
      </c>
      <c r="R366" s="14">
        <v>4143.88</v>
      </c>
      <c r="S366" s="14">
        <v>5249.68</v>
      </c>
    </row>
    <row r="367" spans="2:19" x14ac:dyDescent="0.2">
      <c r="B367" s="2">
        <v>44193</v>
      </c>
      <c r="C367" s="14">
        <v>3751.47</v>
      </c>
      <c r="D367" s="14">
        <v>4143.88</v>
      </c>
      <c r="Q367" s="2">
        <v>44193</v>
      </c>
      <c r="R367" s="14">
        <v>3751.47</v>
      </c>
      <c r="S367" s="14">
        <v>5738.68</v>
      </c>
    </row>
    <row r="368" spans="2:19" x14ac:dyDescent="0.2">
      <c r="B368" s="2">
        <v>44194</v>
      </c>
      <c r="C368" s="14">
        <v>5707.12</v>
      </c>
      <c r="D368" s="14">
        <v>3751.47</v>
      </c>
      <c r="Q368" s="2">
        <v>44194</v>
      </c>
      <c r="R368" s="14">
        <v>5707.12</v>
      </c>
      <c r="S368" s="14">
        <v>5433.75</v>
      </c>
    </row>
    <row r="369" spans="2:19" x14ac:dyDescent="0.2">
      <c r="B369" s="2">
        <v>44195</v>
      </c>
      <c r="C369" s="14">
        <v>4171.67</v>
      </c>
      <c r="D369" s="14">
        <v>5707.12</v>
      </c>
      <c r="Q369" s="2">
        <v>44195</v>
      </c>
      <c r="R369" s="14">
        <v>4171.67</v>
      </c>
      <c r="S369" s="14">
        <v>8682.9500000000007</v>
      </c>
    </row>
    <row r="370" spans="2:19" x14ac:dyDescent="0.2">
      <c r="B370" s="2">
        <v>44196</v>
      </c>
      <c r="C370" s="14">
        <v>5949.4</v>
      </c>
      <c r="D370" s="14">
        <v>4171.67</v>
      </c>
      <c r="Q370" s="2">
        <v>44196</v>
      </c>
      <c r="R370" s="14">
        <v>5949.4</v>
      </c>
      <c r="S370" s="14">
        <v>4043.39</v>
      </c>
    </row>
    <row r="371" spans="2:19" x14ac:dyDescent="0.2">
      <c r="B371" s="2">
        <v>44197</v>
      </c>
      <c r="C371" s="14">
        <v>5304.38</v>
      </c>
      <c r="D371" s="14">
        <v>5949.4</v>
      </c>
      <c r="Q371" s="2">
        <v>44197</v>
      </c>
      <c r="R371" s="14">
        <v>5304.38</v>
      </c>
      <c r="S371" s="14">
        <v>4203.5</v>
      </c>
    </row>
    <row r="372" spans="2:19" x14ac:dyDescent="0.2">
      <c r="B372" s="2">
        <v>44198</v>
      </c>
      <c r="C372" s="14">
        <v>2726.38</v>
      </c>
      <c r="D372" s="14">
        <v>5304.38</v>
      </c>
      <c r="Q372" s="2">
        <v>44198</v>
      </c>
      <c r="R372" s="14">
        <v>2726.38</v>
      </c>
      <c r="S372" s="14">
        <v>4065.29</v>
      </c>
    </row>
    <row r="373" spans="2:19" x14ac:dyDescent="0.2">
      <c r="B373" s="2">
        <v>44199</v>
      </c>
      <c r="C373" s="14">
        <v>7321.26</v>
      </c>
      <c r="D373" s="14">
        <v>2726.38</v>
      </c>
      <c r="Q373" s="2">
        <v>44199</v>
      </c>
      <c r="R373" s="14">
        <v>7321.26</v>
      </c>
      <c r="S373" s="14">
        <v>4166.78</v>
      </c>
    </row>
    <row r="374" spans="2:19" x14ac:dyDescent="0.2">
      <c r="B374" s="2">
        <v>44200</v>
      </c>
      <c r="C374" s="14">
        <v>7693.82</v>
      </c>
      <c r="D374" s="14">
        <v>7321.26</v>
      </c>
      <c r="Q374" s="2">
        <v>44200</v>
      </c>
      <c r="R374" s="14">
        <v>7693.82</v>
      </c>
      <c r="S374" s="14">
        <v>4043.92</v>
      </c>
    </row>
    <row r="375" spans="2:19" x14ac:dyDescent="0.2">
      <c r="B375" s="2">
        <v>44201</v>
      </c>
      <c r="C375" s="14">
        <v>4080.82</v>
      </c>
      <c r="D375" s="14">
        <v>7693.82</v>
      </c>
      <c r="Q375" s="2">
        <v>44201</v>
      </c>
      <c r="R375" s="14">
        <v>4080.82</v>
      </c>
      <c r="S375" s="14">
        <v>6783.52</v>
      </c>
    </row>
    <row r="376" spans="2:19" x14ac:dyDescent="0.2">
      <c r="B376" s="2">
        <v>44202</v>
      </c>
      <c r="C376" s="14">
        <v>4418.45</v>
      </c>
      <c r="D376" s="14">
        <v>4080.82</v>
      </c>
      <c r="Q376" s="2">
        <v>44202</v>
      </c>
      <c r="R376" s="14">
        <v>4418.45</v>
      </c>
      <c r="S376" s="14">
        <v>7130.76</v>
      </c>
    </row>
    <row r="377" spans="2:19" x14ac:dyDescent="0.2">
      <c r="B377" s="2">
        <v>44203</v>
      </c>
      <c r="C377" s="14">
        <v>5428.8</v>
      </c>
      <c r="D377" s="14">
        <v>4418.45</v>
      </c>
      <c r="Q377" s="2">
        <v>44203</v>
      </c>
      <c r="R377" s="14">
        <v>5428.8</v>
      </c>
      <c r="S377" s="14">
        <v>4143.88</v>
      </c>
    </row>
    <row r="378" spans="2:19" x14ac:dyDescent="0.2">
      <c r="B378" s="2">
        <v>44204</v>
      </c>
      <c r="C378" s="14">
        <v>5501.69</v>
      </c>
      <c r="D378" s="14">
        <v>5428.8</v>
      </c>
      <c r="Q378" s="2">
        <v>44204</v>
      </c>
      <c r="R378" s="14">
        <v>5501.69</v>
      </c>
      <c r="S378" s="14">
        <v>3751.47</v>
      </c>
    </row>
    <row r="379" spans="2:19" x14ac:dyDescent="0.2">
      <c r="B379" s="2">
        <v>44205</v>
      </c>
      <c r="C379" s="14">
        <v>5987.82</v>
      </c>
      <c r="D379" s="14">
        <v>5501.69</v>
      </c>
      <c r="Q379" s="2">
        <v>44205</v>
      </c>
      <c r="R379" s="14">
        <v>5987.82</v>
      </c>
      <c r="S379" s="14">
        <v>5707.12</v>
      </c>
    </row>
    <row r="380" spans="2:19" x14ac:dyDescent="0.2">
      <c r="B380" s="2">
        <v>44206</v>
      </c>
      <c r="C380" s="14">
        <v>8015.31</v>
      </c>
      <c r="D380" s="14">
        <v>5987.82</v>
      </c>
      <c r="Q380" s="2">
        <v>44206</v>
      </c>
      <c r="R380" s="14">
        <v>8015.31</v>
      </c>
      <c r="S380" s="14">
        <v>4171.67</v>
      </c>
    </row>
    <row r="381" spans="2:19" x14ac:dyDescent="0.2">
      <c r="B381" s="2">
        <v>44207</v>
      </c>
      <c r="C381" s="14">
        <v>4734.58</v>
      </c>
      <c r="D381" s="14">
        <v>8015.31</v>
      </c>
      <c r="Q381" s="2">
        <v>44207</v>
      </c>
      <c r="R381" s="14">
        <v>4734.58</v>
      </c>
      <c r="S381" s="14">
        <v>5949.4</v>
      </c>
    </row>
    <row r="382" spans="2:19" x14ac:dyDescent="0.2">
      <c r="B382" s="2">
        <v>44208</v>
      </c>
      <c r="C382" s="14">
        <v>3802.55</v>
      </c>
      <c r="D382" s="14">
        <v>4734.58</v>
      </c>
      <c r="Q382" s="2">
        <v>44208</v>
      </c>
      <c r="R382" s="14">
        <v>3802.55</v>
      </c>
      <c r="S382" s="14">
        <v>5304.38</v>
      </c>
    </row>
    <row r="383" spans="2:19" x14ac:dyDescent="0.2">
      <c r="B383" s="2">
        <v>44209</v>
      </c>
      <c r="C383" s="14">
        <v>2931.02</v>
      </c>
      <c r="D383" s="14">
        <v>3802.55</v>
      </c>
      <c r="Q383" s="2">
        <v>44209</v>
      </c>
      <c r="R383" s="14">
        <v>2931.02</v>
      </c>
      <c r="S383" s="14">
        <v>2726.38</v>
      </c>
    </row>
    <row r="384" spans="2:19" x14ac:dyDescent="0.2">
      <c r="B384" s="2">
        <v>44210</v>
      </c>
      <c r="C384" s="14">
        <v>3903.6</v>
      </c>
      <c r="D384" s="14">
        <v>2931.02</v>
      </c>
      <c r="Q384" s="2">
        <v>44210</v>
      </c>
      <c r="R384" s="14">
        <v>3903.6</v>
      </c>
      <c r="S384" s="14">
        <v>7321.26</v>
      </c>
    </row>
    <row r="385" spans="2:19" x14ac:dyDescent="0.2">
      <c r="B385" s="2">
        <v>44211</v>
      </c>
      <c r="C385" s="14">
        <v>4950.3100000000004</v>
      </c>
      <c r="D385" s="14">
        <v>3903.6</v>
      </c>
      <c r="Q385" s="2">
        <v>44211</v>
      </c>
      <c r="R385" s="14">
        <v>4950.3100000000004</v>
      </c>
      <c r="S385" s="14">
        <v>7693.82</v>
      </c>
    </row>
    <row r="386" spans="2:19" x14ac:dyDescent="0.2">
      <c r="B386" s="2">
        <v>44212</v>
      </c>
      <c r="C386" s="14">
        <v>7691.84</v>
      </c>
      <c r="D386" s="14">
        <v>4950.3100000000004</v>
      </c>
      <c r="Q386" s="2">
        <v>44212</v>
      </c>
      <c r="R386" s="14">
        <v>7691.84</v>
      </c>
      <c r="S386" s="14">
        <v>4080.82</v>
      </c>
    </row>
    <row r="387" spans="2:19" x14ac:dyDescent="0.2">
      <c r="B387" s="2">
        <v>44213</v>
      </c>
      <c r="C387" s="14">
        <v>4223.58</v>
      </c>
      <c r="D387" s="14">
        <v>7691.84</v>
      </c>
      <c r="Q387" s="2">
        <v>44213</v>
      </c>
      <c r="R387" s="14">
        <v>4223.58</v>
      </c>
      <c r="S387" s="14">
        <v>4418.45</v>
      </c>
    </row>
    <row r="388" spans="2:19" x14ac:dyDescent="0.2">
      <c r="B388" s="2">
        <v>44214</v>
      </c>
      <c r="C388" s="14">
        <v>5335.68</v>
      </c>
      <c r="D388" s="14">
        <v>4223.58</v>
      </c>
      <c r="Q388" s="2">
        <v>44214</v>
      </c>
      <c r="R388" s="14">
        <v>5335.68</v>
      </c>
      <c r="S388" s="14">
        <v>5428.8</v>
      </c>
    </row>
    <row r="389" spans="2:19" x14ac:dyDescent="0.2">
      <c r="B389" s="2">
        <v>44215</v>
      </c>
      <c r="C389" s="14">
        <v>4975.37</v>
      </c>
      <c r="D389" s="14">
        <v>5335.68</v>
      </c>
      <c r="Q389" s="2">
        <v>44215</v>
      </c>
      <c r="R389" s="14">
        <v>4975.37</v>
      </c>
      <c r="S389" s="14">
        <v>5501.69</v>
      </c>
    </row>
    <row r="390" spans="2:19" x14ac:dyDescent="0.2">
      <c r="B390" s="2">
        <v>44216</v>
      </c>
      <c r="C390" s="14">
        <v>6782.59</v>
      </c>
      <c r="D390" s="14">
        <v>4975.37</v>
      </c>
      <c r="Q390" s="2">
        <v>44216</v>
      </c>
      <c r="R390" s="14">
        <v>6782.59</v>
      </c>
      <c r="S390" s="14">
        <v>5987.82</v>
      </c>
    </row>
    <row r="391" spans="2:19" x14ac:dyDescent="0.2">
      <c r="B391" s="2">
        <v>44217</v>
      </c>
      <c r="C391" s="14">
        <v>8790.4</v>
      </c>
      <c r="D391" s="14">
        <v>6782.59</v>
      </c>
      <c r="Q391" s="2">
        <v>44217</v>
      </c>
      <c r="R391" s="14">
        <v>8790.4</v>
      </c>
      <c r="S391" s="14">
        <v>8015.31</v>
      </c>
    </row>
    <row r="392" spans="2:19" x14ac:dyDescent="0.2">
      <c r="B392" s="2">
        <v>44218</v>
      </c>
      <c r="C392" s="14">
        <v>4203.7</v>
      </c>
      <c r="D392" s="14">
        <v>8790.4</v>
      </c>
      <c r="Q392" s="2">
        <v>44218</v>
      </c>
      <c r="R392" s="14">
        <v>4203.7</v>
      </c>
      <c r="S392" s="14">
        <v>4734.58</v>
      </c>
    </row>
    <row r="393" spans="2:19" x14ac:dyDescent="0.2">
      <c r="B393" s="2">
        <v>44219</v>
      </c>
      <c r="C393" s="14">
        <v>4265.84</v>
      </c>
      <c r="D393" s="14">
        <v>4203.7</v>
      </c>
      <c r="Q393" s="2">
        <v>44219</v>
      </c>
      <c r="R393" s="14">
        <v>4265.84</v>
      </c>
      <c r="S393" s="14">
        <v>3802.55</v>
      </c>
    </row>
    <row r="394" spans="2:19" x14ac:dyDescent="0.2">
      <c r="B394" s="2">
        <v>44220</v>
      </c>
      <c r="C394" s="14">
        <v>6566.24</v>
      </c>
      <c r="D394" s="14">
        <v>4265.84</v>
      </c>
      <c r="Q394" s="2">
        <v>44220</v>
      </c>
      <c r="R394" s="14">
        <v>6566.24</v>
      </c>
      <c r="S394" s="14">
        <v>2931.02</v>
      </c>
    </row>
    <row r="395" spans="2:19" x14ac:dyDescent="0.2">
      <c r="B395" s="2">
        <v>44221</v>
      </c>
      <c r="C395" s="14">
        <v>6022.84</v>
      </c>
      <c r="D395" s="14">
        <v>6566.24</v>
      </c>
      <c r="Q395" s="2">
        <v>44221</v>
      </c>
      <c r="R395" s="14">
        <v>6022.84</v>
      </c>
      <c r="S395" s="14">
        <v>3903.6</v>
      </c>
    </row>
    <row r="396" spans="2:19" x14ac:dyDescent="0.2">
      <c r="B396" s="2">
        <v>44222</v>
      </c>
      <c r="C396" s="14">
        <v>7770.06</v>
      </c>
      <c r="D396" s="14">
        <v>6022.84</v>
      </c>
      <c r="Q396" s="2">
        <v>44222</v>
      </c>
      <c r="R396" s="14">
        <v>7770.06</v>
      </c>
      <c r="S396" s="14">
        <v>4950.3100000000004</v>
      </c>
    </row>
    <row r="397" spans="2:19" x14ac:dyDescent="0.2">
      <c r="B397" s="2">
        <v>44223</v>
      </c>
      <c r="C397" s="14">
        <v>5875.89</v>
      </c>
      <c r="D397" s="14">
        <v>7770.06</v>
      </c>
      <c r="Q397" s="2">
        <v>44223</v>
      </c>
      <c r="R397" s="14">
        <v>5875.89</v>
      </c>
      <c r="S397" s="14">
        <v>7691.84</v>
      </c>
    </row>
    <row r="398" spans="2:19" x14ac:dyDescent="0.2">
      <c r="B398" s="2">
        <v>44224</v>
      </c>
      <c r="C398" s="14">
        <v>4461.0600000000004</v>
      </c>
      <c r="D398" s="14">
        <v>5875.89</v>
      </c>
      <c r="Q398" s="2">
        <v>44224</v>
      </c>
      <c r="R398" s="14">
        <v>4461.0600000000004</v>
      </c>
      <c r="S398" s="14">
        <v>4223.58</v>
      </c>
    </row>
    <row r="399" spans="2:19" x14ac:dyDescent="0.2">
      <c r="B399" s="2">
        <v>44225</v>
      </c>
      <c r="C399" s="14">
        <v>5885.98</v>
      </c>
      <c r="D399" s="14">
        <v>4461.0600000000004</v>
      </c>
      <c r="Q399" s="2">
        <v>44225</v>
      </c>
      <c r="R399" s="14">
        <v>5885.98</v>
      </c>
      <c r="S399" s="14">
        <v>5335.68</v>
      </c>
    </row>
    <row r="400" spans="2:19" x14ac:dyDescent="0.2">
      <c r="B400" s="2">
        <v>44226</v>
      </c>
      <c r="C400" s="14">
        <v>6663.06</v>
      </c>
      <c r="D400" s="14">
        <v>5885.98</v>
      </c>
      <c r="Q400" s="2">
        <v>44226</v>
      </c>
      <c r="R400" s="14">
        <v>6663.06</v>
      </c>
      <c r="S400" s="14">
        <v>4975.37</v>
      </c>
    </row>
    <row r="401" spans="2:19" x14ac:dyDescent="0.2">
      <c r="B401" s="2">
        <v>44227</v>
      </c>
      <c r="C401" s="14">
        <v>6230.72</v>
      </c>
      <c r="D401" s="14">
        <v>6663.06</v>
      </c>
      <c r="Q401" s="2">
        <v>44227</v>
      </c>
      <c r="R401" s="14">
        <v>6230.72</v>
      </c>
      <c r="S401" s="14">
        <v>6782.59</v>
      </c>
    </row>
    <row r="402" spans="2:19" x14ac:dyDescent="0.2">
      <c r="B402" s="2">
        <v>44228</v>
      </c>
      <c r="C402" s="14">
        <v>5760.91</v>
      </c>
      <c r="D402" s="14">
        <v>6230.72</v>
      </c>
      <c r="Q402" s="2">
        <v>44228</v>
      </c>
      <c r="R402" s="14">
        <v>5760.91</v>
      </c>
      <c r="S402" s="14">
        <v>8790.4</v>
      </c>
    </row>
    <row r="403" spans="2:19" x14ac:dyDescent="0.2">
      <c r="B403" s="2">
        <v>44229</v>
      </c>
      <c r="C403" s="14">
        <v>6600.01</v>
      </c>
      <c r="D403" s="14">
        <v>5760.91</v>
      </c>
      <c r="Q403" s="2">
        <v>44229</v>
      </c>
      <c r="R403" s="14">
        <v>6600.01</v>
      </c>
      <c r="S403" s="14">
        <v>4203.7</v>
      </c>
    </row>
    <row r="404" spans="2:19" x14ac:dyDescent="0.2">
      <c r="B404" s="2">
        <v>44230</v>
      </c>
      <c r="C404" s="14">
        <v>6753.94</v>
      </c>
      <c r="D404" s="14">
        <v>6600.01</v>
      </c>
      <c r="Q404" s="2">
        <v>44230</v>
      </c>
      <c r="R404" s="14">
        <v>6753.94</v>
      </c>
      <c r="S404" s="14">
        <v>4265.84</v>
      </c>
    </row>
    <row r="405" spans="2:19" x14ac:dyDescent="0.2">
      <c r="B405" s="2">
        <v>44231</v>
      </c>
      <c r="C405" s="14">
        <v>7073.24</v>
      </c>
      <c r="D405" s="14">
        <v>6753.94</v>
      </c>
      <c r="Q405" s="2">
        <v>44231</v>
      </c>
      <c r="R405" s="14">
        <v>7073.24</v>
      </c>
      <c r="S405" s="14">
        <v>6566.24</v>
      </c>
    </row>
    <row r="406" spans="2:19" x14ac:dyDescent="0.2">
      <c r="B406" s="2">
        <v>44232</v>
      </c>
      <c r="C406" s="14">
        <v>5973.06</v>
      </c>
      <c r="D406" s="14">
        <v>7073.24</v>
      </c>
      <c r="Q406" s="2">
        <v>44232</v>
      </c>
      <c r="R406" s="14">
        <v>5973.06</v>
      </c>
      <c r="S406" s="14">
        <v>6022.84</v>
      </c>
    </row>
    <row r="407" spans="2:19" x14ac:dyDescent="0.2">
      <c r="B407" s="2">
        <v>44233</v>
      </c>
      <c r="C407" s="14">
        <v>4749.32</v>
      </c>
      <c r="D407" s="14">
        <v>5973.06</v>
      </c>
      <c r="Q407" s="2">
        <v>44233</v>
      </c>
      <c r="R407" s="14">
        <v>4749.32</v>
      </c>
      <c r="S407" s="14">
        <v>7770.06</v>
      </c>
    </row>
    <row r="408" spans="2:19" x14ac:dyDescent="0.2">
      <c r="B408" s="2">
        <v>44234</v>
      </c>
      <c r="C408" s="14">
        <v>5220.07</v>
      </c>
      <c r="D408" s="14">
        <v>4749.32</v>
      </c>
      <c r="Q408" s="2">
        <v>44234</v>
      </c>
      <c r="R408" s="14">
        <v>5220.07</v>
      </c>
      <c r="S408" s="14">
        <v>5875.89</v>
      </c>
    </row>
    <row r="409" spans="2:19" x14ac:dyDescent="0.2">
      <c r="B409" s="2">
        <v>44235</v>
      </c>
      <c r="C409" s="14">
        <v>6809.76</v>
      </c>
      <c r="D409" s="14">
        <v>5220.07</v>
      </c>
      <c r="Q409" s="2">
        <v>44235</v>
      </c>
      <c r="R409" s="14">
        <v>6809.76</v>
      </c>
      <c r="S409" s="14">
        <v>4461.0600000000004</v>
      </c>
    </row>
    <row r="410" spans="2:19" x14ac:dyDescent="0.2">
      <c r="B410" s="2">
        <v>44236</v>
      </c>
      <c r="C410" s="14">
        <v>3774.6</v>
      </c>
      <c r="D410" s="14">
        <v>6809.76</v>
      </c>
      <c r="Q410" s="2">
        <v>44236</v>
      </c>
      <c r="R410" s="14">
        <v>3774.6</v>
      </c>
      <c r="S410" s="14">
        <v>5885.98</v>
      </c>
    </row>
    <row r="411" spans="2:19" x14ac:dyDescent="0.2">
      <c r="B411" s="2">
        <v>44237</v>
      </c>
      <c r="C411" s="14">
        <v>5553.01</v>
      </c>
      <c r="D411" s="14">
        <v>3774.6</v>
      </c>
      <c r="Q411" s="2">
        <v>44237</v>
      </c>
      <c r="R411" s="14">
        <v>5553.01</v>
      </c>
      <c r="S411" s="14">
        <v>6663.06</v>
      </c>
    </row>
    <row r="412" spans="2:19" x14ac:dyDescent="0.2">
      <c r="B412" s="2">
        <v>44238</v>
      </c>
      <c r="C412" s="14">
        <v>4409.99</v>
      </c>
      <c r="D412" s="14">
        <v>5553.01</v>
      </c>
      <c r="Q412" s="2">
        <v>44238</v>
      </c>
      <c r="R412" s="14">
        <v>4409.99</v>
      </c>
      <c r="S412" s="14">
        <v>6230.72</v>
      </c>
    </row>
    <row r="413" spans="2:19" x14ac:dyDescent="0.2">
      <c r="B413" s="2">
        <v>44239</v>
      </c>
      <c r="C413" s="14">
        <v>5043.12</v>
      </c>
      <c r="D413" s="14">
        <v>4409.99</v>
      </c>
      <c r="Q413" s="2">
        <v>44239</v>
      </c>
      <c r="R413" s="14">
        <v>5043.12</v>
      </c>
      <c r="S413" s="14">
        <v>5760.91</v>
      </c>
    </row>
    <row r="414" spans="2:19" x14ac:dyDescent="0.2">
      <c r="B414" s="2">
        <v>44240</v>
      </c>
      <c r="C414" s="14">
        <v>6917.68</v>
      </c>
      <c r="D414" s="14">
        <v>5043.12</v>
      </c>
      <c r="Q414" s="2">
        <v>44240</v>
      </c>
      <c r="R414" s="14">
        <v>6917.68</v>
      </c>
      <c r="S414" s="14">
        <v>6600.01</v>
      </c>
    </row>
    <row r="415" spans="2:19" x14ac:dyDescent="0.2">
      <c r="B415" s="2">
        <v>44241</v>
      </c>
      <c r="C415" s="14">
        <v>5286.65</v>
      </c>
      <c r="D415" s="14">
        <v>6917.68</v>
      </c>
      <c r="Q415" s="2">
        <v>44241</v>
      </c>
      <c r="R415" s="14">
        <v>5286.65</v>
      </c>
      <c r="S415" s="14">
        <v>6753.94</v>
      </c>
    </row>
    <row r="416" spans="2:19" x14ac:dyDescent="0.2">
      <c r="B416" s="2">
        <v>44242</v>
      </c>
      <c r="C416" s="14">
        <v>5069.6499999999996</v>
      </c>
      <c r="D416" s="14">
        <v>5286.65</v>
      </c>
      <c r="Q416" s="2">
        <v>44242</v>
      </c>
      <c r="R416" s="14">
        <v>5069.6499999999996</v>
      </c>
      <c r="S416" s="14">
        <v>7073.24</v>
      </c>
    </row>
    <row r="417" spans="2:19" x14ac:dyDescent="0.2">
      <c r="B417" s="2">
        <v>44243</v>
      </c>
      <c r="C417" s="14">
        <v>2960.22</v>
      </c>
      <c r="D417" s="14">
        <v>5069.6499999999996</v>
      </c>
      <c r="Q417" s="2">
        <v>44243</v>
      </c>
      <c r="R417" s="14">
        <v>2960.22</v>
      </c>
      <c r="S417" s="14">
        <v>5973.06</v>
      </c>
    </row>
    <row r="418" spans="2:19" x14ac:dyDescent="0.2">
      <c r="B418" s="2">
        <v>44244</v>
      </c>
      <c r="C418" s="14">
        <v>6119.38</v>
      </c>
      <c r="D418" s="14">
        <v>2960.22</v>
      </c>
      <c r="Q418" s="2">
        <v>44244</v>
      </c>
      <c r="R418" s="14">
        <v>6119.38</v>
      </c>
      <c r="S418" s="14">
        <v>4749.32</v>
      </c>
    </row>
    <row r="419" spans="2:19" x14ac:dyDescent="0.2">
      <c r="B419" s="2">
        <v>44245</v>
      </c>
      <c r="C419" s="14">
        <v>5968.23</v>
      </c>
      <c r="D419" s="14">
        <v>6119.38</v>
      </c>
      <c r="Q419" s="2">
        <v>44245</v>
      </c>
      <c r="R419" s="14">
        <v>5968.23</v>
      </c>
      <c r="S419" s="14">
        <v>5220.07</v>
      </c>
    </row>
    <row r="420" spans="2:19" x14ac:dyDescent="0.2">
      <c r="B420" s="2">
        <v>44246</v>
      </c>
      <c r="C420" s="14">
        <v>8244.8799999999992</v>
      </c>
      <c r="D420" s="14">
        <v>5968.23</v>
      </c>
      <c r="Q420" s="2">
        <v>44246</v>
      </c>
      <c r="R420" s="14">
        <v>8244.8799999999992</v>
      </c>
      <c r="S420" s="14">
        <v>6809.76</v>
      </c>
    </row>
    <row r="421" spans="2:19" x14ac:dyDescent="0.2">
      <c r="B421" s="2">
        <v>44247</v>
      </c>
      <c r="C421" s="14">
        <v>4538.33</v>
      </c>
      <c r="D421" s="14">
        <v>8244.8799999999992</v>
      </c>
      <c r="Q421" s="2">
        <v>44247</v>
      </c>
      <c r="R421" s="14">
        <v>4538.33</v>
      </c>
      <c r="S421" s="14">
        <v>3774.6</v>
      </c>
    </row>
    <row r="422" spans="2:19" x14ac:dyDescent="0.2">
      <c r="B422" s="2">
        <v>44248</v>
      </c>
      <c r="C422" s="14">
        <v>5328.73</v>
      </c>
      <c r="D422" s="14">
        <v>4538.33</v>
      </c>
      <c r="Q422" s="2">
        <v>44248</v>
      </c>
      <c r="R422" s="14">
        <v>5328.73</v>
      </c>
      <c r="S422" s="14">
        <v>5553.01</v>
      </c>
    </row>
    <row r="423" spans="2:19" x14ac:dyDescent="0.2">
      <c r="B423" s="2">
        <v>44249</v>
      </c>
      <c r="C423" s="14">
        <v>5374.08</v>
      </c>
      <c r="D423" s="14">
        <v>5328.73</v>
      </c>
      <c r="Q423" s="2">
        <v>44249</v>
      </c>
      <c r="R423" s="14">
        <v>5374.08</v>
      </c>
      <c r="S423" s="14">
        <v>4409.99</v>
      </c>
    </row>
    <row r="424" spans="2:19" x14ac:dyDescent="0.2">
      <c r="B424" s="2">
        <v>44250</v>
      </c>
      <c r="C424" s="14">
        <v>7366.18</v>
      </c>
      <c r="D424" s="14">
        <v>5374.08</v>
      </c>
      <c r="Q424" s="2">
        <v>44250</v>
      </c>
      <c r="R424" s="14">
        <v>7366.18</v>
      </c>
      <c r="S424" s="14">
        <v>5043.12</v>
      </c>
    </row>
    <row r="425" spans="2:19" x14ac:dyDescent="0.2">
      <c r="B425" s="2">
        <v>44251</v>
      </c>
      <c r="C425" s="14">
        <v>4857.0600000000004</v>
      </c>
      <c r="D425" s="14">
        <v>7366.18</v>
      </c>
      <c r="Q425" s="2">
        <v>44251</v>
      </c>
      <c r="R425" s="14">
        <v>4857.0600000000004</v>
      </c>
      <c r="S425" s="14">
        <v>6917.68</v>
      </c>
    </row>
    <row r="426" spans="2:19" x14ac:dyDescent="0.2">
      <c r="B426" s="2">
        <v>44252</v>
      </c>
      <c r="C426" s="14">
        <v>5418.53</v>
      </c>
      <c r="D426" s="14">
        <v>4857.0600000000004</v>
      </c>
      <c r="Q426" s="2">
        <v>44252</v>
      </c>
      <c r="R426" s="14">
        <v>5418.53</v>
      </c>
      <c r="S426" s="14">
        <v>5286.65</v>
      </c>
    </row>
    <row r="427" spans="2:19" x14ac:dyDescent="0.2">
      <c r="B427" s="2">
        <v>44253</v>
      </c>
      <c r="C427" s="14">
        <v>5911.84</v>
      </c>
      <c r="D427" s="14">
        <v>5418.53</v>
      </c>
      <c r="Q427" s="2">
        <v>44253</v>
      </c>
      <c r="R427" s="14">
        <v>5911.84</v>
      </c>
      <c r="S427" s="14">
        <v>5069.6499999999996</v>
      </c>
    </row>
    <row r="428" spans="2:19" x14ac:dyDescent="0.2">
      <c r="B428" s="2">
        <v>44254</v>
      </c>
      <c r="C428" s="14">
        <v>5279.91</v>
      </c>
      <c r="D428" s="14">
        <v>5911.84</v>
      </c>
      <c r="Q428" s="2">
        <v>44254</v>
      </c>
      <c r="R428" s="14">
        <v>5279.91</v>
      </c>
      <c r="S428" s="14">
        <v>2960.22</v>
      </c>
    </row>
    <row r="429" spans="2:19" x14ac:dyDescent="0.2">
      <c r="B429" s="2">
        <v>44255</v>
      </c>
      <c r="C429" s="14">
        <v>4330.3500000000004</v>
      </c>
      <c r="D429" s="14">
        <v>5279.91</v>
      </c>
      <c r="Q429" s="2">
        <v>44255</v>
      </c>
      <c r="R429" s="14">
        <v>4330.3500000000004</v>
      </c>
      <c r="S429" s="14">
        <v>6119.38</v>
      </c>
    </row>
    <row r="430" spans="2:19" x14ac:dyDescent="0.2">
      <c r="B430" s="2">
        <v>44256</v>
      </c>
      <c r="C430" s="14">
        <v>5291.13</v>
      </c>
      <c r="D430" s="14">
        <v>4330.3500000000004</v>
      </c>
      <c r="Q430" s="2">
        <v>44256</v>
      </c>
      <c r="R430" s="14">
        <v>5291.13</v>
      </c>
      <c r="S430" s="14">
        <v>5968.23</v>
      </c>
    </row>
    <row r="431" spans="2:19" x14ac:dyDescent="0.2">
      <c r="B431" s="2">
        <v>44257</v>
      </c>
      <c r="C431" s="14">
        <v>6610.45</v>
      </c>
      <c r="D431" s="14">
        <v>5291.13</v>
      </c>
      <c r="Q431" s="2">
        <v>44257</v>
      </c>
      <c r="R431" s="14">
        <v>6610.45</v>
      </c>
      <c r="S431" s="14">
        <v>8244.8799999999992</v>
      </c>
    </row>
    <row r="432" spans="2:19" x14ac:dyDescent="0.2">
      <c r="B432" s="2">
        <v>44258</v>
      </c>
      <c r="C432" s="14">
        <v>3460.23</v>
      </c>
      <c r="D432" s="14">
        <v>6610.45</v>
      </c>
      <c r="Q432" s="2">
        <v>44258</v>
      </c>
      <c r="R432" s="14">
        <v>3460.23</v>
      </c>
      <c r="S432" s="14">
        <v>4538.33</v>
      </c>
    </row>
    <row r="433" spans="2:19" x14ac:dyDescent="0.2">
      <c r="B433" s="2">
        <v>44259</v>
      </c>
      <c r="C433" s="14">
        <v>5199.45</v>
      </c>
      <c r="D433" s="14">
        <v>3460.23</v>
      </c>
      <c r="Q433" s="2">
        <v>44259</v>
      </c>
      <c r="R433" s="14">
        <v>5199.45</v>
      </c>
      <c r="S433" s="14">
        <v>5328.73</v>
      </c>
    </row>
    <row r="434" spans="2:19" x14ac:dyDescent="0.2">
      <c r="B434" s="2">
        <v>44260</v>
      </c>
      <c r="C434" s="14">
        <v>3949.82</v>
      </c>
      <c r="D434" s="14">
        <v>5199.45</v>
      </c>
      <c r="Q434" s="2">
        <v>44260</v>
      </c>
      <c r="R434" s="14">
        <v>3949.82</v>
      </c>
      <c r="S434" s="14">
        <v>5374.08</v>
      </c>
    </row>
    <row r="435" spans="2:19" x14ac:dyDescent="0.2">
      <c r="B435" s="2">
        <v>44261</v>
      </c>
      <c r="C435" s="14">
        <v>6792.57</v>
      </c>
      <c r="D435" s="14">
        <v>3949.82</v>
      </c>
      <c r="Q435" s="2">
        <v>44261</v>
      </c>
      <c r="R435" s="14">
        <v>6792.57</v>
      </c>
      <c r="S435" s="14">
        <v>7366.18</v>
      </c>
    </row>
    <row r="436" spans="2:19" x14ac:dyDescent="0.2">
      <c r="B436" s="2">
        <v>44262</v>
      </c>
      <c r="C436" s="14">
        <v>2715.22</v>
      </c>
      <c r="D436" s="14">
        <v>6792.57</v>
      </c>
      <c r="Q436" s="2">
        <v>44262</v>
      </c>
      <c r="R436" s="14">
        <v>2715.22</v>
      </c>
      <c r="S436" s="14">
        <v>4857.0600000000004</v>
      </c>
    </row>
    <row r="437" spans="2:19" x14ac:dyDescent="0.2">
      <c r="B437" s="2">
        <v>44263</v>
      </c>
      <c r="C437" s="14">
        <v>4161.62</v>
      </c>
      <c r="D437" s="14">
        <v>2715.22</v>
      </c>
      <c r="Q437" s="2">
        <v>44263</v>
      </c>
      <c r="R437" s="14">
        <v>4161.62</v>
      </c>
      <c r="S437" s="14">
        <v>5418.53</v>
      </c>
    </row>
    <row r="438" spans="2:19" x14ac:dyDescent="0.2">
      <c r="B438" s="2">
        <v>44264</v>
      </c>
      <c r="C438" s="14">
        <v>5565.82</v>
      </c>
      <c r="D438" s="14">
        <v>4161.62</v>
      </c>
      <c r="Q438" s="2">
        <v>44264</v>
      </c>
      <c r="R438" s="14">
        <v>5565.82</v>
      </c>
      <c r="S438" s="14">
        <v>5911.84</v>
      </c>
    </row>
    <row r="439" spans="2:19" x14ac:dyDescent="0.2">
      <c r="B439" s="2">
        <v>44265</v>
      </c>
      <c r="C439" s="14">
        <v>7348.29</v>
      </c>
      <c r="D439" s="14">
        <v>5565.82</v>
      </c>
      <c r="Q439" s="2">
        <v>44265</v>
      </c>
      <c r="R439" s="14">
        <v>7348.29</v>
      </c>
      <c r="S439" s="14">
        <v>5279.91</v>
      </c>
    </row>
    <row r="440" spans="2:19" x14ac:dyDescent="0.2">
      <c r="B440" s="2">
        <v>44266</v>
      </c>
      <c r="C440" s="14">
        <v>4901.37</v>
      </c>
      <c r="D440" s="14">
        <v>7348.29</v>
      </c>
      <c r="Q440" s="2">
        <v>44266</v>
      </c>
      <c r="R440" s="14">
        <v>4901.37</v>
      </c>
      <c r="S440" s="14">
        <v>4330.3500000000004</v>
      </c>
    </row>
    <row r="441" spans="2:19" x14ac:dyDescent="0.2">
      <c r="B441" s="2">
        <v>44267</v>
      </c>
      <c r="C441" s="14">
        <v>4167.2</v>
      </c>
      <c r="D441" s="14">
        <v>4901.37</v>
      </c>
      <c r="Q441" s="2">
        <v>44267</v>
      </c>
      <c r="R441" s="14">
        <v>4167.2</v>
      </c>
      <c r="S441" s="14">
        <v>5291.13</v>
      </c>
    </row>
    <row r="442" spans="2:19" x14ac:dyDescent="0.2">
      <c r="B442" s="2">
        <v>44268</v>
      </c>
      <c r="C442" s="14">
        <v>7821.74</v>
      </c>
      <c r="D442" s="14">
        <v>4167.2</v>
      </c>
      <c r="Q442" s="2">
        <v>44268</v>
      </c>
      <c r="R442" s="14">
        <v>7821.74</v>
      </c>
      <c r="S442" s="14">
        <v>6610.45</v>
      </c>
    </row>
    <row r="443" spans="2:19" x14ac:dyDescent="0.2">
      <c r="B443" s="2">
        <v>44269</v>
      </c>
      <c r="C443" s="14">
        <v>2827.98</v>
      </c>
      <c r="D443" s="14">
        <v>7821.74</v>
      </c>
      <c r="Q443" s="2">
        <v>44269</v>
      </c>
      <c r="R443" s="14">
        <v>2827.98</v>
      </c>
      <c r="S443" s="14">
        <v>3460.23</v>
      </c>
    </row>
    <row r="444" spans="2:19" x14ac:dyDescent="0.2">
      <c r="B444" s="2">
        <v>44270</v>
      </c>
      <c r="C444" s="14">
        <v>1701.79</v>
      </c>
      <c r="D444" s="14">
        <v>2827.98</v>
      </c>
      <c r="Q444" s="2">
        <v>44270</v>
      </c>
      <c r="R444" s="14">
        <v>1701.79</v>
      </c>
      <c r="S444" s="14">
        <v>5199.45</v>
      </c>
    </row>
    <row r="445" spans="2:19" x14ac:dyDescent="0.2">
      <c r="B445" s="2">
        <v>44271</v>
      </c>
      <c r="C445" s="14">
        <v>5660.02</v>
      </c>
      <c r="D445" s="14">
        <v>1701.79</v>
      </c>
      <c r="Q445" s="2">
        <v>44271</v>
      </c>
      <c r="R445" s="14">
        <v>5660.02</v>
      </c>
      <c r="S445" s="14">
        <v>3949.82</v>
      </c>
    </row>
    <row r="446" spans="2:19" x14ac:dyDescent="0.2">
      <c r="B446" s="2">
        <v>44272</v>
      </c>
      <c r="C446" s="14">
        <v>4246.92</v>
      </c>
      <c r="D446" s="14">
        <v>5660.02</v>
      </c>
      <c r="Q446" s="2">
        <v>44272</v>
      </c>
      <c r="R446" s="14">
        <v>4246.92</v>
      </c>
      <c r="S446" s="14">
        <v>6792.57</v>
      </c>
    </row>
    <row r="447" spans="2:19" x14ac:dyDescent="0.2">
      <c r="B447" s="2">
        <v>44273</v>
      </c>
      <c r="C447" s="14">
        <v>3468.15</v>
      </c>
      <c r="D447" s="14">
        <v>4246.92</v>
      </c>
      <c r="Q447" s="2">
        <v>44273</v>
      </c>
      <c r="R447" s="14">
        <v>3468.15</v>
      </c>
      <c r="S447" s="14">
        <v>2715.22</v>
      </c>
    </row>
    <row r="448" spans="2:19" x14ac:dyDescent="0.2">
      <c r="B448" s="2">
        <v>44274</v>
      </c>
      <c r="C448" s="14">
        <v>6062.53</v>
      </c>
      <c r="D448" s="14">
        <v>3468.15</v>
      </c>
      <c r="Q448" s="2">
        <v>44274</v>
      </c>
      <c r="R448" s="14">
        <v>6062.53</v>
      </c>
      <c r="S448" s="14">
        <v>4161.62</v>
      </c>
    </row>
    <row r="449" spans="2:19" x14ac:dyDescent="0.2">
      <c r="B449" s="2">
        <v>44275</v>
      </c>
      <c r="C449" s="14">
        <v>5365.7</v>
      </c>
      <c r="D449" s="14">
        <v>6062.53</v>
      </c>
      <c r="Q449" s="2">
        <v>44275</v>
      </c>
      <c r="R449" s="14">
        <v>5365.7</v>
      </c>
      <c r="S449" s="14">
        <v>5565.82</v>
      </c>
    </row>
    <row r="450" spans="2:19" x14ac:dyDescent="0.2">
      <c r="B450" s="2">
        <v>44276</v>
      </c>
      <c r="C450" s="14">
        <v>4153.88</v>
      </c>
      <c r="D450" s="14">
        <v>5365.7</v>
      </c>
      <c r="Q450" s="2">
        <v>44276</v>
      </c>
      <c r="R450" s="14">
        <v>4153.88</v>
      </c>
      <c r="S450" s="14">
        <v>7348.29</v>
      </c>
    </row>
    <row r="451" spans="2:19" x14ac:dyDescent="0.2">
      <c r="B451" s="2">
        <v>44277</v>
      </c>
      <c r="C451" s="14">
        <v>3079.54</v>
      </c>
      <c r="D451" s="14">
        <v>4153.88</v>
      </c>
      <c r="Q451" s="2">
        <v>44277</v>
      </c>
      <c r="R451" s="14">
        <v>3079.54</v>
      </c>
      <c r="S451" s="14">
        <v>4901.37</v>
      </c>
    </row>
    <row r="452" spans="2:19" x14ac:dyDescent="0.2">
      <c r="B452" s="2">
        <v>44278</v>
      </c>
      <c r="C452" s="14">
        <v>6308.69</v>
      </c>
      <c r="D452" s="14">
        <v>3079.54</v>
      </c>
      <c r="Q452" s="2">
        <v>44278</v>
      </c>
      <c r="R452" s="14">
        <v>6308.69</v>
      </c>
      <c r="S452" s="14">
        <v>4167.2</v>
      </c>
    </row>
    <row r="453" spans="2:19" x14ac:dyDescent="0.2">
      <c r="B453" s="2">
        <v>44279</v>
      </c>
      <c r="C453" s="14">
        <v>5975.3</v>
      </c>
      <c r="D453" s="14">
        <v>6308.69</v>
      </c>
      <c r="Q453" s="2">
        <v>44279</v>
      </c>
      <c r="R453" s="14">
        <v>5975.3</v>
      </c>
      <c r="S453" s="14">
        <v>7821.74</v>
      </c>
    </row>
    <row r="454" spans="2:19" x14ac:dyDescent="0.2">
      <c r="B454" s="2">
        <v>44280</v>
      </c>
      <c r="C454" s="14">
        <v>4851.24</v>
      </c>
      <c r="D454" s="14">
        <v>5975.3</v>
      </c>
      <c r="Q454" s="2">
        <v>44280</v>
      </c>
      <c r="R454" s="14">
        <v>4851.24</v>
      </c>
      <c r="S454" s="14">
        <v>2827.98</v>
      </c>
    </row>
    <row r="455" spans="2:19" x14ac:dyDescent="0.2">
      <c r="B455" s="2">
        <v>44281</v>
      </c>
      <c r="C455" s="14">
        <v>7769.96</v>
      </c>
      <c r="D455" s="14">
        <v>4851.24</v>
      </c>
      <c r="Q455" s="2">
        <v>44281</v>
      </c>
      <c r="R455" s="14">
        <v>7769.96</v>
      </c>
      <c r="S455" s="14">
        <v>1701.79</v>
      </c>
    </row>
    <row r="456" spans="2:19" x14ac:dyDescent="0.2">
      <c r="B456" s="2">
        <v>44282</v>
      </c>
      <c r="C456" s="14">
        <v>3394.87</v>
      </c>
      <c r="D456" s="14">
        <v>7769.96</v>
      </c>
      <c r="Q456" s="2">
        <v>44282</v>
      </c>
      <c r="R456" s="14">
        <v>3394.87</v>
      </c>
      <c r="S456" s="14">
        <v>5660.02</v>
      </c>
    </row>
    <row r="457" spans="2:19" x14ac:dyDescent="0.2">
      <c r="B457" s="2">
        <v>44283</v>
      </c>
      <c r="C457" s="14">
        <v>2711.71</v>
      </c>
      <c r="D457" s="14">
        <v>3394.87</v>
      </c>
      <c r="Q457" s="2">
        <v>44283</v>
      </c>
      <c r="R457" s="14">
        <v>2711.71</v>
      </c>
      <c r="S457" s="14">
        <v>4246.92</v>
      </c>
    </row>
    <row r="458" spans="2:19" x14ac:dyDescent="0.2">
      <c r="B458" s="2">
        <v>44284</v>
      </c>
      <c r="C458" s="14">
        <v>3962.14</v>
      </c>
      <c r="D458" s="14">
        <v>2711.71</v>
      </c>
      <c r="Q458" s="2">
        <v>44284</v>
      </c>
      <c r="R458" s="14">
        <v>3962.14</v>
      </c>
      <c r="S458" s="14">
        <v>3468.15</v>
      </c>
    </row>
    <row r="459" spans="2:19" x14ac:dyDescent="0.2">
      <c r="B459" s="2">
        <v>44285</v>
      </c>
      <c r="C459" s="14">
        <v>4931.62</v>
      </c>
      <c r="D459" s="14">
        <v>3962.14</v>
      </c>
      <c r="Q459" s="2">
        <v>44285</v>
      </c>
      <c r="R459" s="14">
        <v>4931.62</v>
      </c>
      <c r="S459" s="14">
        <v>6062.53</v>
      </c>
    </row>
    <row r="460" spans="2:19" x14ac:dyDescent="0.2">
      <c r="B460" s="2">
        <v>44286</v>
      </c>
      <c r="C460" s="14">
        <v>5365.01</v>
      </c>
      <c r="D460" s="14">
        <v>4931.62</v>
      </c>
      <c r="Q460" s="2">
        <v>44286</v>
      </c>
      <c r="R460" s="14">
        <v>5365.01</v>
      </c>
      <c r="S460" s="14">
        <v>5365.7</v>
      </c>
    </row>
    <row r="461" spans="2:19" x14ac:dyDescent="0.2">
      <c r="B461" s="2">
        <v>44287</v>
      </c>
      <c r="C461" s="14">
        <v>4638.1499999999996</v>
      </c>
      <c r="D461" s="14">
        <v>5365.01</v>
      </c>
      <c r="Q461" s="2">
        <v>44287</v>
      </c>
      <c r="R461" s="14">
        <v>4638.1499999999996</v>
      </c>
      <c r="S461" s="14">
        <v>4153.88</v>
      </c>
    </row>
    <row r="462" spans="2:19" x14ac:dyDescent="0.2">
      <c r="B462" s="2">
        <v>44288</v>
      </c>
      <c r="C462" s="14">
        <v>5528.08</v>
      </c>
      <c r="D462" s="14">
        <v>4638.1499999999996</v>
      </c>
      <c r="Q462" s="2">
        <v>44288</v>
      </c>
      <c r="R462" s="14">
        <v>5528.08</v>
      </c>
      <c r="S462" s="14">
        <v>3079.54</v>
      </c>
    </row>
    <row r="463" spans="2:19" x14ac:dyDescent="0.2">
      <c r="B463" s="2">
        <v>44289</v>
      </c>
      <c r="C463" s="14">
        <v>3122.69</v>
      </c>
      <c r="D463" s="14">
        <v>5528.08</v>
      </c>
      <c r="Q463" s="2">
        <v>44289</v>
      </c>
      <c r="R463" s="14">
        <v>3122.69</v>
      </c>
      <c r="S463" s="14">
        <v>6308.69</v>
      </c>
    </row>
    <row r="464" spans="2:19" x14ac:dyDescent="0.2">
      <c r="B464" s="2">
        <v>44290</v>
      </c>
      <c r="C464" s="14">
        <v>7165.65</v>
      </c>
      <c r="D464" s="14">
        <v>3122.69</v>
      </c>
      <c r="Q464" s="2">
        <v>44290</v>
      </c>
      <c r="R464" s="14">
        <v>7165.65</v>
      </c>
      <c r="S464" s="14">
        <v>5975.3</v>
      </c>
    </row>
    <row r="465" spans="2:19" x14ac:dyDescent="0.2">
      <c r="B465" s="2">
        <v>44291</v>
      </c>
      <c r="C465" s="14">
        <v>4876.7700000000004</v>
      </c>
      <c r="D465" s="14">
        <v>7165.65</v>
      </c>
      <c r="Q465" s="2">
        <v>44291</v>
      </c>
      <c r="R465" s="14">
        <v>4876.7700000000004</v>
      </c>
      <c r="S465" s="14">
        <v>4851.24</v>
      </c>
    </row>
    <row r="466" spans="2:19" x14ac:dyDescent="0.2">
      <c r="B466" s="2">
        <v>44292</v>
      </c>
      <c r="C466" s="14">
        <v>6675.94</v>
      </c>
      <c r="D466" s="14">
        <v>4876.7700000000004</v>
      </c>
      <c r="Q466" s="2">
        <v>44292</v>
      </c>
      <c r="R466" s="14">
        <v>6675.94</v>
      </c>
      <c r="S466" s="14">
        <v>7769.96</v>
      </c>
    </row>
    <row r="467" spans="2:19" x14ac:dyDescent="0.2">
      <c r="B467" s="2">
        <v>44293</v>
      </c>
      <c r="C467" s="14">
        <v>5514.09</v>
      </c>
      <c r="D467" s="14">
        <v>6675.94</v>
      </c>
      <c r="Q467" s="2">
        <v>44293</v>
      </c>
      <c r="R467" s="14">
        <v>5514.09</v>
      </c>
      <c r="S467" s="14">
        <v>3394.87</v>
      </c>
    </row>
    <row r="468" spans="2:19" x14ac:dyDescent="0.2">
      <c r="B468" s="2">
        <v>44294</v>
      </c>
      <c r="C468" s="14">
        <v>5685.13</v>
      </c>
      <c r="D468" s="14">
        <v>5514.09</v>
      </c>
      <c r="Q468" s="2">
        <v>44294</v>
      </c>
      <c r="R468" s="14">
        <v>5685.13</v>
      </c>
      <c r="S468" s="14">
        <v>2711.71</v>
      </c>
    </row>
    <row r="469" spans="2:19" x14ac:dyDescent="0.2">
      <c r="B469" s="2">
        <v>44295</v>
      </c>
      <c r="C469" s="14">
        <v>5854.65</v>
      </c>
      <c r="D469" s="14">
        <v>5685.13</v>
      </c>
      <c r="Q469" s="2">
        <v>44295</v>
      </c>
      <c r="R469" s="14">
        <v>5854.65</v>
      </c>
      <c r="S469" s="14">
        <v>3962.14</v>
      </c>
    </row>
    <row r="470" spans="2:19" x14ac:dyDescent="0.2">
      <c r="B470" s="2">
        <v>44296</v>
      </c>
      <c r="C470" s="14">
        <v>5671.56</v>
      </c>
      <c r="D470" s="14">
        <v>5854.65</v>
      </c>
      <c r="Q470" s="2">
        <v>44296</v>
      </c>
      <c r="R470" s="14">
        <v>5671.56</v>
      </c>
      <c r="S470" s="14">
        <v>4931.62</v>
      </c>
    </row>
    <row r="471" spans="2:19" x14ac:dyDescent="0.2">
      <c r="B471" s="2">
        <v>44297</v>
      </c>
      <c r="C471" s="14">
        <v>5964.08</v>
      </c>
      <c r="D471" s="14">
        <v>5671.56</v>
      </c>
      <c r="Q471" s="2">
        <v>44297</v>
      </c>
      <c r="R471" s="14">
        <v>5964.08</v>
      </c>
      <c r="S471" s="14">
        <v>5365.01</v>
      </c>
    </row>
    <row r="472" spans="2:19" x14ac:dyDescent="0.2">
      <c r="B472" s="2">
        <v>44298</v>
      </c>
      <c r="C472" s="14">
        <v>6993.73</v>
      </c>
      <c r="D472" s="14">
        <v>5964.08</v>
      </c>
      <c r="Q472" s="2">
        <v>44298</v>
      </c>
      <c r="R472" s="14">
        <v>6993.73</v>
      </c>
      <c r="S472" s="14">
        <v>4638.1499999999996</v>
      </c>
    </row>
    <row r="473" spans="2:19" x14ac:dyDescent="0.2">
      <c r="B473" s="2">
        <v>44299</v>
      </c>
      <c r="C473" s="14">
        <v>5294.78</v>
      </c>
      <c r="D473" s="14">
        <v>6993.73</v>
      </c>
      <c r="Q473" s="2">
        <v>44299</v>
      </c>
      <c r="R473" s="14">
        <v>5294.78</v>
      </c>
      <c r="S473" s="14">
        <v>5528.08</v>
      </c>
    </row>
    <row r="474" spans="2:19" x14ac:dyDescent="0.2">
      <c r="B474" s="2">
        <v>44300</v>
      </c>
      <c r="C474" s="14">
        <v>6063.51</v>
      </c>
      <c r="D474" s="14">
        <v>5294.78</v>
      </c>
      <c r="Q474" s="2">
        <v>44300</v>
      </c>
      <c r="R474" s="14">
        <v>6063.51</v>
      </c>
      <c r="S474" s="14">
        <v>3122.69</v>
      </c>
    </row>
    <row r="475" spans="2:19" x14ac:dyDescent="0.2">
      <c r="B475" s="2">
        <v>44301</v>
      </c>
      <c r="C475" s="14">
        <v>4865.3999999999996</v>
      </c>
      <c r="D475" s="14">
        <v>6063.51</v>
      </c>
      <c r="Q475" s="2">
        <v>44301</v>
      </c>
      <c r="R475" s="14">
        <v>4865.3999999999996</v>
      </c>
      <c r="S475" s="14">
        <v>7165.65</v>
      </c>
    </row>
    <row r="476" spans="2:19" x14ac:dyDescent="0.2">
      <c r="B476" s="2">
        <v>44302</v>
      </c>
      <c r="C476" s="14">
        <v>7160.18</v>
      </c>
      <c r="D476" s="14">
        <v>4865.3999999999996</v>
      </c>
      <c r="Q476" s="2">
        <v>44302</v>
      </c>
      <c r="R476" s="14">
        <v>7160.18</v>
      </c>
      <c r="S476" s="14">
        <v>4876.7700000000004</v>
      </c>
    </row>
    <row r="477" spans="2:19" x14ac:dyDescent="0.2">
      <c r="B477" s="2">
        <v>44303</v>
      </c>
      <c r="C477" s="14">
        <v>3985.41</v>
      </c>
      <c r="D477" s="14">
        <v>7160.18</v>
      </c>
      <c r="Q477" s="2">
        <v>44303</v>
      </c>
      <c r="R477" s="14">
        <v>3985.41</v>
      </c>
      <c r="S477" s="14">
        <v>6675.94</v>
      </c>
    </row>
    <row r="478" spans="2:19" x14ac:dyDescent="0.2">
      <c r="B478" s="2">
        <v>44304</v>
      </c>
      <c r="C478" s="14">
        <v>7701.41</v>
      </c>
      <c r="D478" s="14">
        <v>3985.41</v>
      </c>
      <c r="Q478" s="2">
        <v>44304</v>
      </c>
      <c r="R478" s="14">
        <v>7701.41</v>
      </c>
      <c r="S478" s="14">
        <v>5514.09</v>
      </c>
    </row>
    <row r="479" spans="2:19" x14ac:dyDescent="0.2">
      <c r="B479" s="2">
        <v>44305</v>
      </c>
      <c r="C479" s="14">
        <v>4939.76</v>
      </c>
      <c r="D479" s="14">
        <v>7701.41</v>
      </c>
      <c r="Q479" s="2">
        <v>44305</v>
      </c>
      <c r="R479" s="14">
        <v>4939.76</v>
      </c>
      <c r="S479" s="14">
        <v>5685.13</v>
      </c>
    </row>
    <row r="480" spans="2:19" x14ac:dyDescent="0.2">
      <c r="B480" s="2">
        <v>44306</v>
      </c>
      <c r="C480" s="14">
        <v>2853.84</v>
      </c>
      <c r="D480" s="14">
        <v>4939.76</v>
      </c>
      <c r="Q480" s="2">
        <v>44306</v>
      </c>
      <c r="R480" s="14">
        <v>2853.84</v>
      </c>
      <c r="S480" s="14">
        <v>5854.65</v>
      </c>
    </row>
    <row r="481" spans="2:19" x14ac:dyDescent="0.2">
      <c r="B481" s="2">
        <v>44307</v>
      </c>
      <c r="C481" s="14">
        <v>5192.16</v>
      </c>
      <c r="D481" s="14">
        <v>2853.84</v>
      </c>
      <c r="Q481" s="2">
        <v>44307</v>
      </c>
      <c r="R481" s="14">
        <v>5192.16</v>
      </c>
      <c r="S481" s="14">
        <v>5671.56</v>
      </c>
    </row>
    <row r="482" spans="2:19" x14ac:dyDescent="0.2">
      <c r="B482" s="2">
        <v>44308</v>
      </c>
      <c r="C482" s="14">
        <v>3978.42</v>
      </c>
      <c r="D482" s="14">
        <v>5192.16</v>
      </c>
      <c r="Q482" s="2">
        <v>44308</v>
      </c>
      <c r="R482" s="14">
        <v>3978.42</v>
      </c>
      <c r="S482" s="14">
        <v>5964.08</v>
      </c>
    </row>
    <row r="483" spans="2:19" x14ac:dyDescent="0.2">
      <c r="B483" s="2">
        <v>44309</v>
      </c>
      <c r="C483" s="14">
        <v>6260.97</v>
      </c>
      <c r="D483" s="14">
        <v>3978.42</v>
      </c>
      <c r="Q483" s="2">
        <v>44309</v>
      </c>
      <c r="R483" s="14">
        <v>6260.97</v>
      </c>
      <c r="S483" s="14">
        <v>6993.73</v>
      </c>
    </row>
    <row r="484" spans="2:19" x14ac:dyDescent="0.2">
      <c r="B484" s="2">
        <v>44310</v>
      </c>
      <c r="C484" s="14">
        <v>4021.06</v>
      </c>
      <c r="D484" s="14">
        <v>6260.97</v>
      </c>
      <c r="Q484" s="2">
        <v>44310</v>
      </c>
      <c r="R484" s="14">
        <v>4021.06</v>
      </c>
      <c r="S484" s="14">
        <v>5294.78</v>
      </c>
    </row>
    <row r="485" spans="2:19" x14ac:dyDescent="0.2">
      <c r="B485" s="2">
        <v>44311</v>
      </c>
      <c r="C485" s="14">
        <v>4330.72</v>
      </c>
      <c r="D485" s="14">
        <v>4021.06</v>
      </c>
      <c r="Q485" s="2">
        <v>44311</v>
      </c>
      <c r="R485" s="14">
        <v>4330.72</v>
      </c>
      <c r="S485" s="14">
        <v>6063.51</v>
      </c>
    </row>
    <row r="486" spans="2:19" x14ac:dyDescent="0.2">
      <c r="B486" s="2">
        <v>44312</v>
      </c>
      <c r="C486" s="14">
        <v>2165.69</v>
      </c>
      <c r="D486" s="14">
        <v>4330.72</v>
      </c>
      <c r="Q486" s="2">
        <v>44312</v>
      </c>
      <c r="R486" s="14">
        <v>2165.69</v>
      </c>
      <c r="S486" s="14">
        <v>4865.3999999999996</v>
      </c>
    </row>
    <row r="487" spans="2:19" x14ac:dyDescent="0.2">
      <c r="B487" s="2">
        <v>44313</v>
      </c>
      <c r="C487" s="14">
        <v>4321.54</v>
      </c>
      <c r="D487" s="14">
        <v>2165.69</v>
      </c>
      <c r="Q487" s="2">
        <v>44313</v>
      </c>
      <c r="R487" s="14">
        <v>4321.54</v>
      </c>
      <c r="S487" s="14">
        <v>7160.18</v>
      </c>
    </row>
    <row r="488" spans="2:19" x14ac:dyDescent="0.2">
      <c r="B488" s="2">
        <v>44314</v>
      </c>
      <c r="C488" s="14">
        <v>1364.18</v>
      </c>
      <c r="D488" s="14">
        <v>4321.54</v>
      </c>
      <c r="Q488" s="2">
        <v>44314</v>
      </c>
      <c r="R488" s="14">
        <v>1364.18</v>
      </c>
      <c r="S488" s="14">
        <v>3985.41</v>
      </c>
    </row>
    <row r="489" spans="2:19" x14ac:dyDescent="0.2">
      <c r="B489" s="2">
        <v>44315</v>
      </c>
      <c r="C489" s="14">
        <v>2624.15</v>
      </c>
      <c r="D489" s="14">
        <v>1364.18</v>
      </c>
      <c r="Q489" s="2">
        <v>44315</v>
      </c>
      <c r="R489" s="14">
        <v>2624.15</v>
      </c>
      <c r="S489" s="14">
        <v>7701.41</v>
      </c>
    </row>
    <row r="490" spans="2:19" x14ac:dyDescent="0.2">
      <c r="B490" s="2">
        <v>44316</v>
      </c>
      <c r="C490" s="14">
        <v>6140.62</v>
      </c>
      <c r="D490" s="14">
        <v>2624.15</v>
      </c>
      <c r="Q490" s="2">
        <v>44316</v>
      </c>
      <c r="R490" s="14">
        <v>6140.62</v>
      </c>
      <c r="S490" s="14">
        <v>4939.76</v>
      </c>
    </row>
    <row r="491" spans="2:19" x14ac:dyDescent="0.2">
      <c r="B491" s="2">
        <v>44317</v>
      </c>
      <c r="C491" s="14">
        <v>6178.7</v>
      </c>
      <c r="D491" s="14">
        <v>6140.62</v>
      </c>
      <c r="Q491" s="2">
        <v>44317</v>
      </c>
      <c r="R491" s="14">
        <v>6178.7</v>
      </c>
      <c r="S491" s="14">
        <v>2853.84</v>
      </c>
    </row>
    <row r="492" spans="2:19" x14ac:dyDescent="0.2">
      <c r="B492" s="2">
        <v>44318</v>
      </c>
      <c r="C492" s="14">
        <v>5638.19</v>
      </c>
      <c r="D492" s="14">
        <v>6178.7</v>
      </c>
      <c r="Q492" s="2">
        <v>44318</v>
      </c>
      <c r="R492" s="14">
        <v>5638.19</v>
      </c>
      <c r="S492" s="14">
        <v>5192.16</v>
      </c>
    </row>
    <row r="493" spans="2:19" x14ac:dyDescent="0.2">
      <c r="B493" s="2">
        <v>44319</v>
      </c>
      <c r="C493" s="14">
        <v>3549.54</v>
      </c>
      <c r="D493" s="14">
        <v>5638.19</v>
      </c>
      <c r="Q493" s="2">
        <v>44319</v>
      </c>
      <c r="R493" s="14">
        <v>3549.54</v>
      </c>
      <c r="S493" s="14">
        <v>3978.42</v>
      </c>
    </row>
    <row r="494" spans="2:19" x14ac:dyDescent="0.2">
      <c r="B494" s="2">
        <v>44320</v>
      </c>
      <c r="C494" s="14">
        <v>4928.43</v>
      </c>
      <c r="D494" s="14">
        <v>3549.54</v>
      </c>
      <c r="Q494" s="2">
        <v>44320</v>
      </c>
      <c r="R494" s="14">
        <v>4928.43</v>
      </c>
      <c r="S494" s="14">
        <v>6260.97</v>
      </c>
    </row>
    <row r="495" spans="2:19" x14ac:dyDescent="0.2">
      <c r="B495" s="2">
        <v>44321</v>
      </c>
      <c r="C495" s="14">
        <v>4994.6000000000004</v>
      </c>
      <c r="D495" s="14">
        <v>4928.43</v>
      </c>
      <c r="Q495" s="2">
        <v>44321</v>
      </c>
      <c r="R495" s="14">
        <v>4994.6000000000004</v>
      </c>
      <c r="S495" s="14">
        <v>4021.06</v>
      </c>
    </row>
    <row r="496" spans="2:19" x14ac:dyDescent="0.2">
      <c r="B496" s="2">
        <v>44322</v>
      </c>
      <c r="C496" s="14">
        <v>3262.45</v>
      </c>
      <c r="D496" s="14">
        <v>4994.6000000000004</v>
      </c>
      <c r="Q496" s="2">
        <v>44322</v>
      </c>
      <c r="R496" s="14">
        <v>3262.45</v>
      </c>
      <c r="S496" s="14">
        <v>4330.72</v>
      </c>
    </row>
    <row r="497" spans="2:19" x14ac:dyDescent="0.2">
      <c r="B497" s="2">
        <v>44323</v>
      </c>
      <c r="C497" s="14">
        <v>7255.1</v>
      </c>
      <c r="D497" s="14">
        <v>3262.45</v>
      </c>
      <c r="Q497" s="2">
        <v>44323</v>
      </c>
      <c r="R497" s="14">
        <v>7255.1</v>
      </c>
      <c r="S497" s="14">
        <v>2165.69</v>
      </c>
    </row>
    <row r="498" spans="2:19" x14ac:dyDescent="0.2">
      <c r="B498" s="2">
        <v>44324</v>
      </c>
      <c r="C498" s="14">
        <v>6316.04</v>
      </c>
      <c r="D498" s="14">
        <v>7255.1</v>
      </c>
      <c r="Q498" s="2">
        <v>44324</v>
      </c>
      <c r="R498" s="14">
        <v>6316.04</v>
      </c>
      <c r="S498" s="14">
        <v>4321.54</v>
      </c>
    </row>
    <row r="499" spans="2:19" x14ac:dyDescent="0.2">
      <c r="B499" s="2">
        <v>44325</v>
      </c>
      <c r="C499" s="14">
        <v>4668.55</v>
      </c>
      <c r="D499" s="14">
        <v>6316.04</v>
      </c>
      <c r="Q499" s="2">
        <v>44325</v>
      </c>
      <c r="R499" s="14">
        <v>4668.55</v>
      </c>
      <c r="S499" s="14">
        <v>1364.18</v>
      </c>
    </row>
    <row r="500" spans="2:19" x14ac:dyDescent="0.2">
      <c r="B500" s="2">
        <v>44326</v>
      </c>
      <c r="C500" s="14">
        <v>5040.33</v>
      </c>
      <c r="D500" s="14">
        <v>4668.55</v>
      </c>
      <c r="Q500" s="2">
        <v>44326</v>
      </c>
      <c r="R500" s="14">
        <v>5040.33</v>
      </c>
      <c r="S500" s="14">
        <v>2624.15</v>
      </c>
    </row>
    <row r="501" spans="2:19" x14ac:dyDescent="0.2">
      <c r="B501" s="2">
        <v>44327</v>
      </c>
      <c r="C501" s="14">
        <v>5312.57</v>
      </c>
      <c r="D501" s="14">
        <v>5040.33</v>
      </c>
      <c r="Q501" s="2">
        <v>44327</v>
      </c>
      <c r="R501" s="14">
        <v>5312.57</v>
      </c>
      <c r="S501" s="14">
        <v>6140.62</v>
      </c>
    </row>
    <row r="502" spans="2:19" x14ac:dyDescent="0.2">
      <c r="B502" s="2">
        <v>44328</v>
      </c>
      <c r="C502" s="14">
        <v>1937.4</v>
      </c>
      <c r="D502" s="14">
        <v>5312.57</v>
      </c>
      <c r="Q502" s="2">
        <v>44328</v>
      </c>
      <c r="R502" s="14">
        <v>1937.4</v>
      </c>
      <c r="S502" s="14">
        <v>6178.7</v>
      </c>
    </row>
    <row r="503" spans="2:19" x14ac:dyDescent="0.2">
      <c r="B503" s="2">
        <v>44329</v>
      </c>
      <c r="C503" s="14">
        <v>4629.2299999999996</v>
      </c>
      <c r="D503" s="14">
        <v>1937.4</v>
      </c>
      <c r="Q503" s="2">
        <v>44329</v>
      </c>
      <c r="R503" s="14">
        <v>4629.2299999999996</v>
      </c>
      <c r="S503" s="14">
        <v>5638.19</v>
      </c>
    </row>
    <row r="504" spans="2:19" x14ac:dyDescent="0.2">
      <c r="B504" s="2">
        <v>44330</v>
      </c>
      <c r="C504" s="14">
        <v>3977.02</v>
      </c>
      <c r="D504" s="14">
        <v>4629.2299999999996</v>
      </c>
      <c r="Q504" s="2">
        <v>44330</v>
      </c>
      <c r="R504" s="14">
        <v>3977.02</v>
      </c>
      <c r="S504" s="14">
        <v>3549.54</v>
      </c>
    </row>
    <row r="505" spans="2:19" x14ac:dyDescent="0.2">
      <c r="D50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Analysis--&gt;</vt:lpstr>
      <vt:lpstr>Analysis</vt:lpstr>
      <vt:lpstr>Correlation Analysis</vt:lpstr>
      <vt:lpstr>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Martin Mwaala</cp:lastModifiedBy>
  <cp:lastPrinted>2025-02-07T10:37:49Z</cp:lastPrinted>
  <dcterms:created xsi:type="dcterms:W3CDTF">2024-12-22T10:32:01Z</dcterms:created>
  <dcterms:modified xsi:type="dcterms:W3CDTF">2025-02-10T12:23:58Z</dcterms:modified>
</cp:coreProperties>
</file>